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cd72b6abe542be" /></Relationships>
</file>

<file path=xl/workbook.xml><?xml version="1.0" encoding="utf-8"?>
<x:workbook xmlns:x="http://schemas.openxmlformats.org/spreadsheetml/2006/main">
  <x:sheets>
    <x:sheet xmlns:r="http://schemas.openxmlformats.org/officeDocument/2006/relationships" name="Hazır Kişiler" sheetId="1" r:id="Rb3ca59246279458d"/>
    <x:sheet xmlns:r="http://schemas.openxmlformats.org/officeDocument/2006/relationships" name="Telefon İncele" sheetId="2" r:id="R920fccf4a0ea4c7f"/>
    <x:sheet xmlns:r="http://schemas.openxmlformats.org/officeDocument/2006/relationships" name="Sistem İncele" sheetId="3" r:id="R00afc7705595402d"/>
    <x:sheet xmlns:r="http://schemas.openxmlformats.org/officeDocument/2006/relationships" name="Tüm Katılımcılar" sheetId="4" r:id="R575d2a668eaf48bd"/>
    <x:sheet xmlns:r="http://schemas.openxmlformats.org/officeDocument/2006/relationships" name="Özet" sheetId="5" r:id="Rdebe42fdcd5c43d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9">
    <x:font>
      <x:sz val="11"/>
      <x:name val="Carlito"/>
    </x:font>
    <x:font>
      <x:sz val="10"/>
      <x:name val="Aptos"/>
    </x:font>
    <x:font>
      <x:b/>
      <x:sz val="10"/>
      <x:color rgb="FFFFFFFF"/>
      <x:name val="Aptos"/>
    </x:font>
    <x:font>
      <x:b/>
      <x:sz val="18"/>
      <x:color rgb="FFFFFFFF"/>
      <x:name val="Aptos Display"/>
    </x:font>
    <x:font>
      <x:b/>
      <x:sz val="11"/>
      <x:color rgb="FFFFFFFF"/>
      <x:name val="Aptos"/>
    </x:font>
    <x:font>
      <x:sz val="11"/>
      <x:name val="Aptos"/>
    </x:font>
    <x:font>
      <x:b/>
      <x:sz val="11"/>
      <x:color rgb="FF123047"/>
      <x:name val="Aptos"/>
    </x:font>
    <x:font>
      <x:b/>
      <x:sz val="10"/>
      <x:color rgb="FF123047"/>
      <x:name val="Aptos"/>
    </x:font>
    <x:font>
      <x:sz val="11"/>
      <x:color rgb="FF243746"/>
      <x:name val="Aptos"/>
    </x:font>
  </x:fonts>
  <x:fills count="10">
    <x:fill>
      <x:patternFill patternType="none"/>
    </x:fill>
    <x:fill>
      <x:patternFill patternType="gray125"/>
    </x:fill>
    <x:fill>
      <x:patternFill patternType="solid">
        <x:fgColor rgb="FF123047"/>
      </x:patternFill>
    </x:fill>
    <x:fill>
      <x:patternFill patternType="solid">
        <x:fgColor rgb="FFE2F0D9"/>
      </x:patternFill>
    </x:fill>
    <x:fill>
      <x:patternFill patternType="solid">
        <x:fgColor rgb="FFFFF2CC"/>
      </x:patternFill>
    </x:fill>
    <x:fill>
      <x:patternFill patternType="solid">
        <x:fgColor rgb="FFFFFBE6"/>
      </x:patternFill>
    </x:fill>
    <x:fill>
      <x:patternFill patternType="solid">
        <x:fgColor rgb="FFFCE4D6"/>
      </x:patternFill>
    </x:fill>
    <x:fill>
      <x:patternFill patternType="solid">
        <x:fgColor rgb="FF1F6E8C"/>
      </x:patternFill>
    </x:fill>
    <x:fill>
      <x:patternFill patternType="solid">
        <x:fgColor rgb="FFDCEAF1"/>
      </x:patternFill>
    </x:fill>
    <x:fill>
      <x:patternFill patternType="solid">
        <x:fgColor rgb="FFF4F8FA"/>
      </x:patternFill>
    </x:fill>
  </x:fills>
  <x:borders count="3">
    <x:border/>
    <x:border>
      <x:bottom style="thin">
        <x:color rgb="FFE2E8F0"/>
      </x:bottom>
    </x:border>
    <x:border>
      <x:bottom style="thin">
        <x:color rgb="FFD9E2E8"/>
      </x:bottom>
    </x:border>
  </x:borders>
  <x:cellStyleXfs count="1">
    <x:xf numFmtId="0" fontId="0" fillId="0" borderId="0"/>
  </x:cellStyleXfs>
  <x:cellXfs count="42">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2" borderId="0" xfId="0" applyNumberFormat="1" applyFont="1" applyFill="1" applyBorder="1" applyAlignment="1">
      <x:alignment vertical="top"/>
    </x:xf>
    <x:xf numFmtId="200" fontId="2" fillId="2" borderId="0" xfId="0" applyNumberFormat="1" applyFont="1" applyFill="1" applyBorder="1" applyAlignment="1">
      <x:alignment vertical="top"/>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x:xf>
    <x:xf numFmtId="200" fontId="1" fillId="0" borderId="1" xfId="0" applyNumberFormat="1" applyFont="1" applyFill="1" applyBorder="1" applyAlignment="1">
      <x:alignment vertical="top" wrapText="1"/>
    </x:xf>
    <x:xf numFmtId="200" fontId="1" fillId="3" borderId="0" xfId="0" applyNumberFormat="1" applyFont="1" applyFill="1" applyBorder="1" applyAlignment="1">
      <x:alignment vertical="top"/>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x:xf>
    <x:xf numFmtId="200" fontId="1" fillId="4" borderId="0" xfId="0" applyNumberFormat="1" applyFont="1" applyFill="1" applyBorder="1" applyAlignment="1">
      <x:alignment vertical="top" wrapText="1"/>
    </x:xf>
    <x:xf numFmtId="200" fontId="1" fillId="5" borderId="0" xfId="0" applyNumberFormat="1" applyFont="1" applyFill="1" applyBorder="1" applyAlignment="1">
      <x:alignment vertical="top"/>
    </x:xf>
    <x:xf numFmtId="200" fontId="1" fillId="5" borderId="0" xfId="0" applyNumberFormat="1" applyFont="1" applyFill="1" applyBorder="1" applyAlignment="1">
      <x:alignment vertical="top" wrapText="1"/>
    </x:xf>
    <x:xf numFmtId="200" fontId="1" fillId="5" borderId="1" xfId="0" applyNumberFormat="1" applyFont="1" applyFill="1" applyBorder="1" applyAlignment="1">
      <x:alignment vertical="top"/>
    </x:xf>
    <x:xf numFmtId="200" fontId="1" fillId="5" borderId="1" xfId="0" applyNumberFormat="1" applyFont="1" applyFill="1" applyBorder="1" applyAlignment="1">
      <x:alignment vertical="top" wrapText="1"/>
    </x:xf>
    <x:xf numFmtId="200" fontId="1" fillId="6" borderId="0" xfId="0" applyNumberFormat="1" applyFont="1" applyFill="1" applyBorder="1" applyAlignment="1">
      <x:alignment vertical="top"/>
    </x:xf>
    <x:xf numFmtId="200" fontId="1" fillId="6" borderId="0" xfId="0" applyNumberFormat="1" applyFont="1" applyFill="1" applyBorder="1" applyAlignment="1">
      <x:alignment vertical="top" wrapText="1"/>
    </x:xf>
    <x:xf numFmtId="200" fontId="1" fillId="6" borderId="1" xfId="0" applyNumberFormat="1" applyFont="1" applyFill="1" applyBorder="1" applyAlignment="1">
      <x:alignment vertical="top"/>
    </x:xf>
    <x:xf numFmtId="200" fontId="1" fillId="6" borderId="1"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5" fillId="0" borderId="0" xfId="0" applyNumberFormat="1" applyFont="1" applyFill="1" applyBorder="1"/>
    <x:xf numFmtId="0" fontId="5" fillId="0" borderId="2" xfId="0" applyNumberFormat="1" applyFont="1" applyFill="1" applyBorder="1"/>
    <x:xf numFmtId="0" fontId="6" fillId="0" borderId="0" xfId="0" applyNumberFormat="1" applyFont="1" applyFill="1" applyBorder="1"/>
    <x:xf numFmtId="0" fontId="6" fillId="0" borderId="2" xfId="0" applyNumberFormat="1" applyFont="1" applyFill="1" applyBorder="1"/>
    <x:xf numFmtId="0" fontId="1" fillId="0" borderId="0" xfId="0" applyNumberFormat="1" applyFont="1" applyFill="1" applyBorder="1"/>
    <x:xf numFmtId="0" fontId="1" fillId="0" borderId="2" xfId="0" applyNumberFormat="1" applyFont="1" applyFill="1" applyBorder="1"/>
    <x:xf numFmtId="0" fontId="7" fillId="0" borderId="0" xfId="0" applyNumberFormat="1" applyFont="1" applyFill="1" applyBorder="1"/>
    <x:xf numFmtId="0" fontId="7" fillId="0" borderId="2"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3df3c61cbb4808" /><Relationship Type="http://schemas.openxmlformats.org/officeDocument/2006/relationships/theme" Target="/xl/theme/theme1.xml" Id="R2d60db572ef94091" /><Relationship Type="http://schemas.openxmlformats.org/officeDocument/2006/relationships/sharedStrings" Target="/xl/sharedStrings.xml" Id="Rdfd5c93608ac486a" /><Relationship Type="http://schemas.openxmlformats.org/officeDocument/2006/relationships/worksheet" Target="/xl/worksheets/sheet1.xml" Id="Rb3ca59246279458d" /><Relationship Type="http://schemas.openxmlformats.org/officeDocument/2006/relationships/worksheet" Target="/xl/worksheets/sheet2.xml" Id="R920fccf4a0ea4c7f" /><Relationship Type="http://schemas.openxmlformats.org/officeDocument/2006/relationships/worksheet" Target="/xl/worksheets/sheet3.xml" Id="R00afc7705595402d" /><Relationship Type="http://schemas.openxmlformats.org/officeDocument/2006/relationships/worksheet" Target="/xl/worksheets/sheet4.xml" Id="R575d2a668eaf48bd" /><Relationship Type="http://schemas.openxmlformats.org/officeDocument/2006/relationships/worksheet" Target="/xl/worksheets/sheet5.xml" Id="Rdebe42fdcd5c43db" /></Relationships>
</file>

<file path=xl/tables/table1.xml><?xml version="1.0" encoding="utf-8"?>
<x:table xmlns:x="http://schemas.openxmlformats.org/spreadsheetml/2006/main" id="1" name="ReadyContactsTable" displayName="ReadyContactsTable" ref="A1:R319" headerRowCount="1" totalsRowCount="0" totalsRowShown="0">
  <x:autoFilter ref="A1:R319"/>
  <x:tableColumns count="18">
    <x:tableColumn id="1" name="Firma"/>
    <x:tableColumn id="2" name="Doğrulanmış web sitesi"/>
    <x:tableColumn id="3" name="E-posta"/>
    <x:tableColumn id="4" name="Telefon"/>
    <x:tableColumn id="5" name="İletişim kapsamı"/>
    <x:tableColumn id="6" name="Doğrulama türü"/>
    <x:tableColumn id="7" name="Güven"/>
    <x:tableColumn id="8" name="Skor"/>
    <x:tableColumn id="9" name="Telefon kontrolü"/>
    <x:tableColumn id="10" name="Fuar telefon referansı"/>
    <x:tableColumn id="11" name="Karar notu"/>
    <x:tableColumn id="12" name="E-posta kanıt sayfası"/>
    <x:tableColumn id="13" name="Telefon kanıt sayfası"/>
    <x:tableColumn id="14" name="Fuar profil sayfası"/>
    <x:tableColumn id="15" name="Salon"/>
    <x:tableColumn id="16" name="Stant"/>
    <x:tableColumn id="17" name="Markalar"/>
    <x:tableColumn id="18" name="Temsilcilikler"/>
  </x:tableColumns>
  <x:tableStyleInfo name="TableStyleMedium2" showFirstColumn="0" showLastColumn="0" showRowStripes="1" showColumnStripes="0"/>
</x:table>
</file>

<file path=xl/tables/table2.xml><?xml version="1.0" encoding="utf-8"?>
<x:table xmlns:x="http://schemas.openxmlformats.org/spreadsheetml/2006/main" id="2" name="PhoneReviewTable" displayName="PhoneReviewTable" ref="A1:R1" headerRowCount="1" totalsRowCount="0" totalsRowShown="0">
  <x:autoFilter ref="A1:R1"/>
  <x:tableColumns count="18">
    <x:tableColumn id="1" name="Firma"/>
    <x:tableColumn id="2" name="Doğrulanmış web sitesi"/>
    <x:tableColumn id="3" name="E-posta"/>
    <x:tableColumn id="4" name="Telefon"/>
    <x:tableColumn id="5" name="İletişim kapsamı"/>
    <x:tableColumn id="6" name="Doğrulama türü"/>
    <x:tableColumn id="7" name="Güven"/>
    <x:tableColumn id="8" name="Skor"/>
    <x:tableColumn id="9" name="Telefon kontrolü"/>
    <x:tableColumn id="10" name="Fuar telefon referansı"/>
    <x:tableColumn id="11" name="Karar notu"/>
    <x:tableColumn id="12" name="E-posta kanıt sayfası"/>
    <x:tableColumn id="13" name="Telefon kanıt sayfası"/>
    <x:tableColumn id="14" name="Fuar profil sayfası"/>
    <x:tableColumn id="15" name="Salon"/>
    <x:tableColumn id="16" name="Stant"/>
    <x:tableColumn id="17" name="Markalar"/>
    <x:tableColumn id="18" name="Temsilcilikler"/>
  </x:tableColumns>
  <x:tableStyleInfo name="TableStyleMedium2" showFirstColumn="0" showLastColumn="0" showRowStripes="1" showColumnStripes="0"/>
</x:table>
</file>

<file path=xl/tables/table3.xml><?xml version="1.0" encoding="utf-8"?>
<x:table xmlns:x="http://schemas.openxmlformats.org/spreadsheetml/2006/main" id="3" name="SystemReviewTable" displayName="SystemReviewTable" ref="A1:P52" headerRowCount="1" totalsRowCount="0" totalsRowShown="0">
  <x:autoFilter ref="A1:P52"/>
  <x:tableColumns count="16">
    <x:tableColumn id="1" name="Firma"/>
    <x:tableColumn id="2" name="Durum"/>
    <x:tableColumn id="3" name="Aday / bulunan web sitesi"/>
    <x:tableColumn id="4" name="Birinci aday"/>
    <x:tableColumn id="5" name="E-posta"/>
    <x:tableColumn id="6" name="Telefon"/>
    <x:tableColumn id="7" name="Fuar telefon referansı"/>
    <x:tableColumn id="8" name="Kök neden"/>
    <x:tableColumn id="9" name="Öncelik"/>
    <x:tableColumn id="10" name="Teknik neden"/>
    <x:tableColumn id="11" name="Önerilen kontrol"/>
    <x:tableColumn id="12" name="Manuel karar"/>
    <x:tableColumn id="13" name="Manuel not"/>
    <x:tableColumn id="14" name="Fuar profil sayfası"/>
    <x:tableColumn id="15" name="Salon"/>
    <x:tableColumn id="16" name="Stant"/>
  </x:tableColumns>
  <x:tableStyleInfo name="TableStyleMedium2" showFirstColumn="0" showLastColumn="0" showRowStripes="1" showColumnStripes="0"/>
</x:table>
</file>

<file path=xl/tables/table4.xml><?xml version="1.0" encoding="utf-8"?>
<x:table xmlns:x="http://schemas.openxmlformats.org/spreadsheetml/2006/main" id="4" name="AllExhibitorsTable" displayName="AllExhibitorsTable" ref="A1:J370" headerRowCount="1" totalsRowCount="0" totalsRowShown="0">
  <x:autoFilter ref="A1:J370"/>
  <x:tableColumns count="10">
    <x:tableColumn id="1" name="Firma"/>
    <x:tableColumn id="2" name="Fuarın verdiği web sitesi"/>
    <x:tableColumn id="3" name="Fuar telefon referansı"/>
    <x:tableColumn id="4" name="Fuar profil sayfası"/>
    <x:tableColumn id="5" name="Adres"/>
    <x:tableColumn id="6" name="Salon"/>
    <x:tableColumn id="7" name="Stant"/>
    <x:tableColumn id="8" name="Markalar"/>
    <x:tableColumn id="9" name="Temsilcilikler"/>
    <x:tableColumn id="10" name="Açıklam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f3f53688474cbc" /></Relationships>
</file>

<file path=xl/worksheets/_rels/sheet2.xml.rels>&#65279;<?xml version="1.0" encoding="utf-8"?><Relationships xmlns="http://schemas.openxmlformats.org/package/2006/relationships"><Relationship Type="http://schemas.openxmlformats.org/officeDocument/2006/relationships/table" Target="/xl/tables/table2.xml" Id="Rd685ac8b420349f3" /></Relationships>
</file>

<file path=xl/worksheets/_rels/sheet3.xml.rels>&#65279;<?xml version="1.0" encoding="utf-8"?><Relationships xmlns="http://schemas.openxmlformats.org/package/2006/relationships"><Relationship Type="http://schemas.openxmlformats.org/officeDocument/2006/relationships/table" Target="/xl/tables/table3.xml" Id="R0190975765e1492f" /></Relationships>
</file>

<file path=xl/worksheets/_rels/sheet4.xml.rels>&#65279;<?xml version="1.0" encoding="utf-8"?><Relationships xmlns="http://schemas.openxmlformats.org/package/2006/relationships"><Relationship Type="http://schemas.openxmlformats.org/officeDocument/2006/relationships/table" Target="/xl/tables/table4.xml" Id="R9e667ffd75de4cae"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0" hidden="0" customWidth="1"/>
    <x:col min="5" max="5" width="17" hidden="0" customWidth="1"/>
    <x:col min="6" max="6" width="23" hidden="0" customWidth="1"/>
    <x:col min="7" max="7" width="12" hidden="0" customWidth="1"/>
    <x:col min="8" max="8" width="10" hidden="0" customWidth="1"/>
    <x:col min="9" max="9" width="26" hidden="0" customWidth="1"/>
    <x:col min="10" max="10" width="22" hidden="0" customWidth="1"/>
    <x:col min="11" max="11" width="52" hidden="0" customWidth="1"/>
    <x:col min="12" max="12" width="42" hidden="0" customWidth="1"/>
    <x:col min="13" max="13" width="42" hidden="0" customWidth="1"/>
    <x:col min="14" max="14" width="52" hidden="0" customWidth="1"/>
    <x:col min="15" max="15" width="10" hidden="0" customWidth="1"/>
    <x:col min="16" max="16" width="12" hidden="0" customWidth="1"/>
    <x:col min="17" max="17" width="30" hidden="0" customWidth="1"/>
    <x:col min="18" max="18" width="34" hidden="0" customWidth="1"/>
  </x:cols>
  <x:sheetData>
    <x:row r="1" ht="30" customHeight="1">
      <x:c r="A1" s="7" t="str">
        <x:v>Firma</x:v>
      </x:c>
      <x:c r="B1" s="7" t="str">
        <x:v>Doğrulanmış web sitesi</x:v>
      </x:c>
      <x:c r="C1" s="7" t="str">
        <x:v>E-posta</x:v>
      </x:c>
      <x:c r="D1" s="7" t="str">
        <x:v>Telefon</x:v>
      </x:c>
      <x:c r="E1" s="7" t="str">
        <x:v>İletişim kapsamı</x:v>
      </x:c>
      <x:c r="F1" s="7" t="str">
        <x:v>Doğrulama türü</x:v>
      </x:c>
      <x:c r="G1" s="7" t="str">
        <x:v>Güven</x:v>
      </x:c>
      <x:c r="H1" s="7" t="str">
        <x:v>Skor</x:v>
      </x:c>
      <x:c r="I1" s="7" t="str">
        <x:v>Telefon kontrolü</x:v>
      </x:c>
      <x:c r="J1" s="7" t="str">
        <x:v>Fuar telefon referansı</x:v>
      </x:c>
      <x:c r="K1" s="7" t="str">
        <x:v>Karar notu</x:v>
      </x:c>
      <x:c r="L1" s="7" t="str">
        <x:v>E-posta kanıt sayfası</x:v>
      </x:c>
      <x:c r="M1" s="7" t="str">
        <x:v>Telefon kanıt sayfası</x:v>
      </x:c>
      <x:c r="N1" s="7" t="str">
        <x:v>Fuar profil sayfası</x:v>
      </x:c>
      <x:c r="O1" s="7" t="str">
        <x:v>Salon</x:v>
      </x:c>
      <x:c r="P1" s="7" t="str">
        <x:v>Stant</x:v>
      </x:c>
      <x:c r="Q1" s="7" t="str">
        <x:v>Markalar</x:v>
      </x:c>
      <x:c r="R1" s="7" t="str">
        <x:v>Temsilcilikler</x:v>
      </x:c>
    </x:row>
    <x:row r="2">
      <x:c r="A2" s="11" t="str">
        <x:v>3D TEKNO MARKET ANONIM SIRKETI</x:v>
      </x:c>
      <x:c r="B2" s="11" t="str">
        <x:v>https://www.3dteknomarket.com</x:v>
      </x:c>
      <x:c r="C2" s="11"/>
      <x:c r="D2" s="11" t="str">
        <x:v>‎0216 315 33 33</x:v>
      </x:c>
      <x:c r="E2" s="11" t="str">
        <x:v>KISMI</x:v>
      </x:c>
      <x:c r="F2" s="11" t="str">
        <x:v>MANUEL WEB DOĞRULAMA</x:v>
      </x:c>
      <x:c r="G2" s="11" t="str">
        <x:v>manual</x:v>
      </x:c>
      <x:c r="H2" s="11"/>
      <x:c r="I2" s="11" t="str">
        <x:v>MANUEL_ESLESTI</x:v>
      </x:c>
      <x:c r="J2" s="11" t="str">
        <x:v>‎+90 216 315 33 33</x:v>
      </x:c>
      <x:c r="K2" s="12" t="str">
        <x:v>Resmî KVKK sayfasında unvan, MERSİS ve Denizli adresi; resmî iletişim sayfasında fuar telefonuyla eşleşen numara doğrulandı. Kimlik kanıtı: https://www.3dteknomarket.com/kvkk</x:v>
      </x:c>
      <x:c r="L2" s="12"/>
      <x:c r="M2" s="12" t="str">
        <x:v>https://www.3dteknomarket.com/lletisim</x:v>
      </x:c>
      <x:c r="N2" s="12" t="str">
        <x:v>https://www.maktekfuari.com/brand/3d-tekno-market-anonim-sirketi</x:v>
      </x:c>
      <x:c r="O2" s="11" t="str">
        <x:v>11A</x:v>
      </x:c>
      <x:c r="P2" s="11" t="str">
        <x:v>23</x:v>
      </x:c>
      <x:c r="Q2" s="12"/>
      <x:c r="R2" s="12"/>
    </x:row>
    <x:row r="3">
      <x:c r="A3" s="3" t="str">
        <x:v>5T5 MAKİNA SAN VE TİC AŞ</x:v>
      </x:c>
      <x:c r="B3" s="3" t="str">
        <x:v>https://www.5t5makina.com</x:v>
      </x:c>
      <x:c r="C3" s="3" t="str">
        <x:v>info@5t5makina.com</x:v>
      </x:c>
      <x:c r="D3" s="3" t="str">
        <x:v>‎0352 311 45 55</x:v>
      </x:c>
      <x:c r="E3" s="3" t="str">
        <x:v>TAM</x:v>
      </x:c>
      <x:c r="F3" s="3" t="str">
        <x:v>SİSTEM</x:v>
      </x:c>
      <x:c r="G3" s="3" t="str">
        <x:v>medium</x:v>
      </x:c>
      <x:c r="H3" s="3" t="str">
        <x:v>85</x:v>
      </x:c>
      <x:c r="I3" s="3" t="str">
        <x:v>ESLESTI</x:v>
      </x:c>
      <x:c r="J3" s="3" t="str">
        <x:v>‎+90 352 311 45 55</x:v>
      </x:c>
      <x:c r="K3" s="8"/>
      <x:c r="L3" s="8" t="str">
        <x:v>https://www.5t5makina.com</x:v>
      </x:c>
      <x:c r="M3" s="8" t="str">
        <x:v>https://www.5t5makina.com</x:v>
      </x:c>
      <x:c r="N3" s="8" t="str">
        <x:v>https://www.maktekfuari.com/brand/5t5-makina-san-ve-tic-as</x:v>
      </x:c>
      <x:c r="O3" s="3" t="str">
        <x:v>12A</x:v>
      </x:c>
      <x:c r="P3" s="3" t="str">
        <x:v>37</x:v>
      </x:c>
      <x:c r="Q3" s="8" t="str">
        <x:v>Bodor Laser</x:v>
      </x:c>
      <x:c r="R3" s="8"/>
    </x:row>
    <x:row r="4">
      <x:c r="A4" s="3" t="str">
        <x:v>ABBA TEKNOLOJİ YAZILIM HİZMETLERİ SANAYİ VE TİCARET LİMİTED ŞİRKETİ</x:v>
      </x:c>
      <x:c r="B4" s="3" t="str">
        <x:v>https://www.abbateknoloji.com</x:v>
      </x:c>
      <x:c r="C4" s="3" t="str">
        <x:v>info@abbateknoloji.com</x:v>
      </x:c>
      <x:c r="D4" s="3" t="str">
        <x:v>‎0850 319 36 69</x:v>
      </x:c>
      <x:c r="E4" s="3" t="str">
        <x:v>TAM</x:v>
      </x:c>
      <x:c r="F4" s="3" t="str">
        <x:v>SİSTEM</x:v>
      </x:c>
      <x:c r="G4" s="3" t="str">
        <x:v>medium</x:v>
      </x:c>
      <x:c r="H4" s="3" t="str">
        <x:v>87</x:v>
      </x:c>
      <x:c r="I4" s="3" t="str">
        <x:v>ESLESTI</x:v>
      </x:c>
      <x:c r="J4" s="3" t="str">
        <x:v>‎+90 850 319 36 69</x:v>
      </x:c>
      <x:c r="K4" s="8"/>
      <x:c r="L4" s="8" t="str">
        <x:v>https://www.abbateknoloji.com</x:v>
      </x:c>
      <x:c r="M4" s="8" t="str">
        <x:v>https://www.abbateknoloji.com</x:v>
      </x:c>
      <x:c r="N4" s="8" t="str">
        <x:v>https://www.maktekfuari.com/brand/abba-teknoloji-yazilim-hizmetleri-sanayi-ve-ticaret-limited-sirketi</x:v>
      </x:c>
      <x:c r="O4" s="3" t="str">
        <x:v>12</x:v>
      </x:c>
      <x:c r="P4" s="3" t="str">
        <x:v>1214</x:v>
      </x:c>
      <x:c r="Q4" s="8"/>
      <x:c r="R4" s="8" t="str">
        <x:v>GO2CAM INTERNATIONAL</x:v>
      </x:c>
    </x:row>
    <x:row r="5">
      <x:c r="A5" s="11" t="str">
        <x:v>ABKTEKNİK İMALAT VE MÜH ÇÖZÜMLERİ LTD.ŞTİ</x:v>
      </x:c>
      <x:c r="B5" s="11" t="str">
        <x:v>https://www.abkteknik.com</x:v>
      </x:c>
      <x:c r="C5" s="11" t="str">
        <x:v>info@abkteknik.com</x:v>
      </x:c>
      <x:c r="D5" s="11" t="str">
        <x:v>‎0212 549 39 81</x:v>
      </x:c>
      <x:c r="E5" s="11" t="str">
        <x:v>TAM</x:v>
      </x:c>
      <x:c r="F5" s="11" t="str">
        <x:v>MANUEL WEB DOĞRULAMA</x:v>
      </x:c>
      <x:c r="G5" s="11" t="str">
        <x:v>manual</x:v>
      </x:c>
      <x:c r="H5" s="11"/>
      <x:c r="I5" s="11" t="str">
        <x:v>MANUEL_ESLESTI</x:v>
      </x:c>
      <x:c r="J5" s="11" t="str">
        <x:v>‎+90 212 549 39 81</x:v>
      </x:c>
      <x:c r="K5" s="12" t="str">
        <x:v>Resmî Hakkımızda sayfasında tam ticari unvan; İletişim sayfasında fuarla eşleşen adres ve telefon doğrulandı. Kimlik kanıtı: https://www.abkteknik.com/hakkimizda/</x:v>
      </x:c>
      <x:c r="L5" s="12" t="str">
        <x:v>https://www.abkteknik.com/iletisim/</x:v>
      </x:c>
      <x:c r="M5" s="12" t="str">
        <x:v>https://www.abkteknik.com/iletisim/</x:v>
      </x:c>
      <x:c r="N5" s="12" t="str">
        <x:v>https://www.maktekfuari.com/brand/abkteknik-imalat-ve-muh-cozumleri-ltdsti</x:v>
      </x:c>
      <x:c r="O5" s="11" t="str">
        <x:v>12</x:v>
      </x:c>
      <x:c r="P5" s="11" t="str">
        <x:v>1217</x:v>
      </x:c>
      <x:c r="Q5" s="12"/>
      <x:c r="R5" s="12"/>
    </x:row>
    <x:row r="6">
      <x:c r="A6" s="3" t="str">
        <x:v>ABM MAKİNE SAN. VE TİC. A.Ş.</x:v>
      </x:c>
      <x:c r="B6" s="3" t="str">
        <x:v>https://www.abmgrinding.com</x:v>
      </x:c>
      <x:c r="C6" s="3" t="str">
        <x:v>info@abmmakine.com</x:v>
      </x:c>
      <x:c r="D6" s="3" t="str">
        <x:v>‎0232 782 66 44</x:v>
      </x:c>
      <x:c r="E6" s="3" t="str">
        <x:v>TAM</x:v>
      </x:c>
      <x:c r="F6" s="3" t="str">
        <x:v>SİSTEM</x:v>
      </x:c>
      <x:c r="G6" s="3" t="str">
        <x:v>high</x:v>
      </x:c>
      <x:c r="H6" s="3" t="str">
        <x:v>100</x:v>
      </x:c>
      <x:c r="I6" s="3" t="str">
        <x:v>ESLESTI</x:v>
      </x:c>
      <x:c r="J6" s="3" t="str">
        <x:v>‎+90 232 782 66 44</x:v>
      </x:c>
      <x:c r="K6" s="8"/>
      <x:c r="L6" s="8" t="str">
        <x:v>https://www.abmgrinding.com</x:v>
      </x:c>
      <x:c r="M6" s="8" t="str">
        <x:v>https://www.abmgrinding.com</x:v>
      </x:c>
      <x:c r="N6" s="8" t="str">
        <x:v>https://www.maktekfuari.com/brand/abm-makine-san-ve-tic-as</x:v>
      </x:c>
      <x:c r="O6" s="3" t="str">
        <x:v>12</x:v>
      </x:c>
      <x:c r="P6" s="3" t="str">
        <x:v>1228</x:v>
      </x:c>
      <x:c r="Q6" s="8"/>
      <x:c r="R6" s="8"/>
    </x:row>
    <x:row r="7">
      <x:c r="A7" s="11" t="str">
        <x:v>ADDVALUE EKLEMELI IMALAT VE MAKINA ROBOT SISTEMLERI SANAYI VE TICARET LIMITED SIRKETI</x:v>
      </x:c>
      <x:c r="B7" s="11" t="str">
        <x:v>https://www.addvalue.com.tr</x:v>
      </x:c>
      <x:c r="C7" s="11" t="str">
        <x:v>info@addvalue.com.tr</x:v>
      </x:c>
      <x:c r="D7" s="11" t="str">
        <x:v>‎0533 301 98 63</x:v>
      </x:c>
      <x:c r="E7" s="11" t="str">
        <x:v>TAM</x:v>
      </x:c>
      <x:c r="F7" s="11" t="str">
        <x:v>MANUEL WEB DOĞRULAMA</x:v>
      </x:c>
      <x:c r="G7" s="11" t="str">
        <x:v>manual</x:v>
      </x:c>
      <x:c r="H7" s="11"/>
      <x:c r="I7" s="11" t="str">
        <x:v>FARKLI_RESMI_SITE_ONCELIKLI</x:v>
      </x:c>
      <x:c r="J7" s="11" t="str">
        <x:v>‎+90 533 627 59 07</x:v>
      </x:c>
      <x:c r="K7" s="12" t="str">
        <x:v>Fuarın verdiği domain ile resmî site aynı; uzun ve ayırt edici AddValue Eklemeli İmalat marka çapası ile Türkiye iletişimi doğrulandı. Resmî site telefonu esas alındı. Kimlik kanıtı: https://www.addvalue.com.tr/hakkimizda.php</x:v>
      </x:c>
      <x:c r="L7" s="12" t="str">
        <x:v>https://www.addvalue.com.tr/iletisim.php</x:v>
      </x:c>
      <x:c r="M7" s="12" t="str">
        <x:v>https://www.addvalue.com.tr/iletisim.php</x:v>
      </x:c>
      <x:c r="N7" s="12" t="str">
        <x:v>https://www.maktekfuari.com/brand/addvalue-eklemeli-imalat-ve-makina-robot-sistemleri-sanayi-ve-ticaret-limited-sirketi</x:v>
      </x:c>
      <x:c r="O7" s="11" t="str">
        <x:v>9</x:v>
      </x:c>
      <x:c r="P7" s="11" t="str">
        <x:v>922</x:v>
      </x:c>
      <x:c r="Q7" s="12"/>
      <x:c r="R7" s="12"/>
    </x:row>
    <x:row r="8">
      <x:c r="A8" s="3" t="str">
        <x:v>ADİL MAKİNA SAN.VE TİC.N ADİL ÜNAL</x:v>
      </x:c>
      <x:c r="B8" s="3" t="str">
        <x:v>https://www.adilmakina.com.tr</x:v>
      </x:c>
      <x:c r="C8" s="3" t="str">
        <x:v>info@adilmakina.com.tr</x:v>
      </x:c>
      <x:c r="D8" s="3" t="str">
        <x:v>‎0212 674 10 89</x:v>
      </x:c>
      <x:c r="E8" s="3" t="str">
        <x:v>TAM</x:v>
      </x:c>
      <x:c r="F8" s="3" t="str">
        <x:v>SİSTEM</x:v>
      </x:c>
      <x:c r="G8" s="3" t="str">
        <x:v>medium</x:v>
      </x:c>
      <x:c r="H8" s="3" t="str">
        <x:v>87</x:v>
      </x:c>
      <x:c r="I8" s="3" t="str">
        <x:v>ESLESTI</x:v>
      </x:c>
      <x:c r="J8" s="3" t="str">
        <x:v>‎+90 212 577 14 09</x:v>
      </x:c>
      <x:c r="K8" s="8"/>
      <x:c r="L8" s="8" t="str">
        <x:v>https://www.adilmakina.com.tr</x:v>
      </x:c>
      <x:c r="M8" s="8" t="str">
        <x:v>https://www.adilmakina.com.tr/iletisim</x:v>
      </x:c>
      <x:c r="N8" s="8" t="str">
        <x:v>https://www.maktekfuari.com/brand/adil-makina-sanve-ticn-adil-unal</x:v>
      </x:c>
      <x:c r="O8" s="3" t="str">
        <x:v>7</x:v>
      </x:c>
      <x:c r="P8" s="3" t="str">
        <x:v>714</x:v>
      </x:c>
      <x:c r="Q8" s="8"/>
      <x:c r="R8" s="8" t="str">
        <x:v>FAIR FRIEND ENT.CO.LTD MACHINE TOOL DIVISION</x:v>
      </x:c>
    </x:row>
    <x:row r="9">
      <x:c r="A9" s="3" t="str">
        <x:v>ADİL TESTERE MAKİNE A.Ş.</x:v>
      </x:c>
      <x:c r="B9" s="3" t="str">
        <x:v>https://www.adiltestere.com</x:v>
      </x:c>
      <x:c r="C9" s="3" t="str">
        <x:v>info@adiltestere.com</x:v>
      </x:c>
      <x:c r="D9" s="3" t="str">
        <x:v>‎0312 395 05 04</x:v>
      </x:c>
      <x:c r="E9" s="3" t="str">
        <x:v>TAM</x:v>
      </x:c>
      <x:c r="F9" s="3" t="str">
        <x:v>SİSTEM</x:v>
      </x:c>
      <x:c r="G9" s="3" t="str">
        <x:v>medium</x:v>
      </x:c>
      <x:c r="H9" s="3" t="str">
        <x:v>87</x:v>
      </x:c>
      <x:c r="I9" s="3" t="str">
        <x:v>FARKLI_RESMI_SITE_ONCELIKLI</x:v>
      </x:c>
      <x:c r="J9" s="3" t="str">
        <x:v>‎+90 532 481 92 33</x:v>
      </x:c>
      <x:c r="K9" s="8"/>
      <x:c r="L9" s="8" t="str">
        <x:v>https://www.adiltestere.com</x:v>
      </x:c>
      <x:c r="M9" s="8" t="str">
        <x:v>https://www.adiltestere.com</x:v>
      </x:c>
      <x:c r="N9" s="8" t="str">
        <x:v>https://www.maktekfuari.com/brand/adil-testere-makine-as</x:v>
      </x:c>
      <x:c r="O9" s="3" t="str">
        <x:v>1</x:v>
      </x:c>
      <x:c r="P9" s="3" t="str">
        <x:v>107</x:v>
      </x:c>
      <x:c r="Q9" s="8" t="str">
        <x:v>Eberle</x:v>
      </x:c>
      <x:c r="R9" s="8" t="str">
        <x:v>J.N. Eberle Cie. GmbH</x:v>
      </x:c>
    </x:row>
    <x:row r="10">
      <x:c r="A10" s="11" t="str">
        <x:v>ADLER MAKİNA METAL İŞLEME SAN. VE TİC. A.Ş.</x:v>
      </x:c>
      <x:c r="B10" s="11" t="str">
        <x:v>https://adlermetal.com</x:v>
      </x:c>
      <x:c r="C10" s="11" t="str">
        <x:v>info@adlermetal.com</x:v>
      </x:c>
      <x:c r="D10" s="11" t="str">
        <x:v>‎0236 313 45 45</x:v>
      </x:c>
      <x:c r="E10" s="11" t="str">
        <x:v>TAM</x:v>
      </x:c>
      <x:c r="F10" s="11" t="str">
        <x:v>MANUEL WEB DOĞRULAMA</x:v>
      </x:c>
      <x:c r="G10" s="11" t="str">
        <x:v>manual</x:v>
      </x:c>
      <x:c r="H10" s="11"/>
      <x:c r="I10" s="11" t="str">
        <x:v>FARKLI_RESMI_SITE_ONCELIKLI</x:v>
      </x:c>
      <x:c r="J10" s="11" t="str">
        <x:v>‎+90 533 935 31 31</x:v>
      </x:c>
      <x:c r="K10" s="12" t="str">
        <x:v>Resmî site tam unvanı gösteriyor; iletişim sayfasındaki Erbiller adresi fuar kaydıyla eşleşiyor. Güncel resmî site telefonu esas alındı. Kimlik kanıtı: https://adlermetal.com/hakkimizda/</x:v>
      </x:c>
      <x:c r="L10" s="12" t="str">
        <x:v>https://adlermetal.com/iletisim/</x:v>
      </x:c>
      <x:c r="M10" s="12" t="str">
        <x:v>https://adlermetal.com/iletisim/</x:v>
      </x:c>
      <x:c r="N10" s="12" t="str">
        <x:v>https://www.maktekfuari.com/brand/adler-makina-metal-isleme-san-ve-tic-as</x:v>
      </x:c>
      <x:c r="O10" s="11" t="str">
        <x:v>2</x:v>
      </x:c>
      <x:c r="P10" s="11" t="str">
        <x:v>225A</x:v>
      </x:c>
      <x:c r="Q10" s="12" t="str">
        <x:v>ADLER</x:v>
      </x:c>
      <x:c r="R10" s="12" t="str">
        <x:v>MUBEA TELLERFEDERN GMBH; STARRETT IND&amp;COM LTDA</x:v>
      </x:c>
    </x:row>
    <x:row r="11">
      <x:c r="A11" s="11" t="str">
        <x:v>AJANS ORGANİZE KAMURAN TECİMEN</x:v>
      </x:c>
      <x:c r="B11" s="11" t="str">
        <x:v>https://www.ajansorganize.com</x:v>
      </x:c>
      <x:c r="C11" s="11" t="str">
        <x:v>info@ajansorganize.com</x:v>
      </x:c>
      <x:c r="D11" s="11" t="str">
        <x:v>‎0212 671 21 47</x:v>
      </x:c>
      <x:c r="E11" s="11" t="str">
        <x:v>TAM</x:v>
      </x:c>
      <x:c r="F11" s="11" t="str">
        <x:v>MANUEL WEB DOĞRULAMA</x:v>
      </x:c>
      <x:c r="G11" s="11" t="str">
        <x:v>manual</x:v>
      </x:c>
      <x:c r="H11" s="11"/>
      <x:c r="I11" s="11" t="str">
        <x:v>MANUEL_ESLESTI</x:v>
      </x:c>
      <x:c r="J11" s="11" t="str">
        <x:v>‎+90 212 671 21 47</x:v>
      </x:c>
      <x:c r="K11" s="12" t="str">
        <x:v>Resmî iletişim sayfasında Kamuran Tecimen, MERSİS, İkitelli adresi ve fuarla eşleşen telefon birlikte doğrulandı. Kimlik kanıtı: https://www.ajansorganize.com/iletisim.asp</x:v>
      </x:c>
      <x:c r="L11" s="12" t="str">
        <x:v>https://www.ajansorganize.com/iletisim.asp</x:v>
      </x:c>
      <x:c r="M11" s="12" t="str">
        <x:v>https://www.ajansorganize.com/iletisim.asp</x:v>
      </x:c>
      <x:c r="N11" s="12" t="str">
        <x:v>https://www.maktekfuari.com/brand/ajans-organize-kamuran-tecimen</x:v>
      </x:c>
      <x:c r="O11" s="11" t="str">
        <x:v>SalonNo</x:v>
      </x:c>
      <x:c r="P11" s="11" t="str">
        <x:v>StandNo</x:v>
      </x:c>
      <x:c r="Q11" s="12"/>
      <x:c r="R11" s="12"/>
    </x:row>
    <x:row r="12">
      <x:c r="A12" s="3" t="str">
        <x:v>AJANSMİK FUARCILIK VE MEDYA HİZMETLERİ LİMİTED ŞİRKETİ</x:v>
      </x:c>
      <x:c r="B12" s="3" t="str">
        <x:v>https://ajansmik.com</x:v>
      </x:c>
      <x:c r="C12" s="3" t="str">
        <x:v>info@ajansmik.com</x:v>
      </x:c>
      <x:c r="D12" s="3" t="str">
        <x:v>‎0212 222 93 71</x:v>
      </x:c>
      <x:c r="E12" s="3" t="str">
        <x:v>TAM</x:v>
      </x:c>
      <x:c r="F12" s="3" t="str">
        <x:v>SİSTEM</x:v>
      </x:c>
      <x:c r="G12" s="3" t="str">
        <x:v>high</x:v>
      </x:c>
      <x:c r="H12" s="3" t="str">
        <x:v>100</x:v>
      </x:c>
      <x:c r="I12" s="3" t="str">
        <x:v>ESLESTI</x:v>
      </x:c>
      <x:c r="J12" s="3" t="str">
        <x:v>‎+90 554 498 18 78</x:v>
      </x:c>
      <x:c r="K12" s="8"/>
      <x:c r="L12" s="8" t="str">
        <x:v>https://ajansmik.com</x:v>
      </x:c>
      <x:c r="M12" s="8" t="str">
        <x:v>https://ajansmik.com</x:v>
      </x:c>
      <x:c r="N12" s="8" t="str">
        <x:v>https://www.maktekfuari.com/brand/ajansmik-fuarcilik-ve-medya-hizmetleri-limited-sirketi</x:v>
      </x:c>
      <x:c r="O12" s="3" t="str">
        <x:v>SalonNo</x:v>
      </x:c>
      <x:c r="P12" s="3" t="str">
        <x:v>StandNo</x:v>
      </x:c>
      <x:c r="Q12" s="8" t="str">
        <x:v>AJANSMİK FUARCILIK VE MEDYA HİZMETLERİ LTD. ŞTİ.</x:v>
      </x:c>
      <x:c r="R12" s="8"/>
    </x:row>
    <x:row r="13">
      <x:c r="A13" s="3" t="str">
        <x:v>AK MAKİNA SAN VE TİC LTD ŞTİ</x:v>
      </x:c>
      <x:c r="B13" s="3" t="str">
        <x:v>https://www.akmakina.com.tr</x:v>
      </x:c>
      <x:c r="C13" s="3" t="str">
        <x:v>info@2mcncmakina.com</x:v>
      </x:c>
      <x:c r="D13" s="3" t="str">
        <x:v>‎0212 616 01 06</x:v>
      </x:c>
      <x:c r="E13" s="3" t="str">
        <x:v>TAM</x:v>
      </x:c>
      <x:c r="F13" s="3" t="str">
        <x:v>SİSTEM</x:v>
      </x:c>
      <x:c r="G13" s="3" t="str">
        <x:v>medium</x:v>
      </x:c>
      <x:c r="H13" s="3" t="str">
        <x:v>87</x:v>
      </x:c>
      <x:c r="I13" s="3" t="str">
        <x:v>FARKLI_RESMI_SITE_ONCELIKLI</x:v>
      </x:c>
      <x:c r="J13" s="3" t="str">
        <x:v>‎+90 212 612 87 00</x:v>
      </x:c>
      <x:c r="K13" s="8"/>
      <x:c r="L13" s="8" t="str">
        <x:v>https://www.akmakina.com.tr</x:v>
      </x:c>
      <x:c r="M13" s="8" t="str">
        <x:v>https://www.akmakina.com.tr</x:v>
      </x:c>
      <x:c r="N13" s="8" t="str">
        <x:v>https://www.maktekfuari.com/brand/ak-makina-san-ve-tic-ltd-sti</x:v>
      </x:c>
      <x:c r="O13" s="3" t="str">
        <x:v>8</x:v>
      </x:c>
      <x:c r="P13" s="3" t="str">
        <x:v>805</x:v>
      </x:c>
      <x:c r="Q13" s="8"/>
      <x:c r="R13" s="8" t="str">
        <x:v>HANWA SEMITECH; AKIRA SEIKI CO, LTD; KAO FONG MACHINERY CO, LTD; PALMARY MACHINERY CO. LTD; HARTECH; HYUNDAI WIA CORPORATION; HYUNDAI ROBOTICS; AXILE; ZOPO</x:v>
      </x:c>
    </x:row>
    <x:row r="14">
      <x:c r="A14" s="3" t="str">
        <x:v>AKBAL MAKİNA END.SAN. VE DIŞ TİC.LTD.ŞTİ.</x:v>
      </x:c>
      <x:c r="B14" s="3" t="str">
        <x:v>https://www.akbalmakina.com</x:v>
      </x:c>
      <x:c r="C14" s="3" t="str">
        <x:v>info@akbalmakina.com</x:v>
      </x:c>
      <x:c r="D14" s="3" t="str">
        <x:v>‎0212 501 66 67</x:v>
      </x:c>
      <x:c r="E14" s="3" t="str">
        <x:v>TAM</x:v>
      </x:c>
      <x:c r="F14" s="3" t="str">
        <x:v>SİSTEM</x:v>
      </x:c>
      <x:c r="G14" s="3" t="str">
        <x:v>medium</x:v>
      </x:c>
      <x:c r="H14" s="3" t="str">
        <x:v>85</x:v>
      </x:c>
      <x:c r="I14" s="3" t="str">
        <x:v>ESLESTI</x:v>
      </x:c>
      <x:c r="J14" s="3" t="str">
        <x:v>‎+90 532 699 12 24</x:v>
      </x:c>
      <x:c r="K14" s="8"/>
      <x:c r="L14" s="8" t="str">
        <x:v>https://www.akbalmakina.com</x:v>
      </x:c>
      <x:c r="M14" s="8" t="str">
        <x:v>https://www.akbalmakina.com</x:v>
      </x:c>
      <x:c r="N14" s="8" t="str">
        <x:v>https://www.maktekfuari.com/brand/akbal-makina-endsan-ve-dis-ticltdsti</x:v>
      </x:c>
      <x:c r="O14" s="3" t="str">
        <x:v>5</x:v>
      </x:c>
      <x:c r="P14" s="3" t="str">
        <x:v>506</x:v>
      </x:c>
      <x:c r="Q14" s="8" t="str">
        <x:v>Mastertech</x:v>
      </x:c>
      <x:c r="R14" s="8" t="str">
        <x:v>HCM</x:v>
      </x:c>
    </x:row>
    <x:row r="15">
      <x:c r="A15" s="3" t="str">
        <x:v>AKERMAK TEKNİK HIRDAVAT VE ENDÜSTRİYEL ÜRÜNLERİ SAN. VE TİC. A. Ş.</x:v>
      </x:c>
      <x:c r="B15" s="3" t="str">
        <x:v>https://www.akermak.com</x:v>
      </x:c>
      <x:c r="C15" s="3" t="str">
        <x:v>info@akermak.com</x:v>
      </x:c>
      <x:c r="D15" s="3" t="str">
        <x:v>‎0224 443 24 24</x:v>
      </x:c>
      <x:c r="E15" s="3" t="str">
        <x:v>TAM</x:v>
      </x:c>
      <x:c r="F15" s="3" t="str">
        <x:v>SİSTEM</x:v>
      </x:c>
      <x:c r="G15" s="3" t="str">
        <x:v>medium</x:v>
      </x:c>
      <x:c r="H15" s="3" t="str">
        <x:v>87</x:v>
      </x:c>
      <x:c r="I15" s="3" t="str">
        <x:v>ESLESTI</x:v>
      </x:c>
      <x:c r="J15" s="3" t="str">
        <x:v>‎+90 224 443 24 24</x:v>
      </x:c>
      <x:c r="K15" s="8"/>
      <x:c r="L15" s="8" t="str">
        <x:v>https://www.akermak.com/tr/hakkimizda</x:v>
      </x:c>
      <x:c r="M15" s="8" t="str">
        <x:v>https://www.akermak.com</x:v>
      </x:c>
      <x:c r="N15" s="8" t="str">
        <x:v>https://www.maktekfuari.com/brand/akermak-teknik-hirdavat-ve-endustriyel-urunleri-san-ve-tic-a-s</x:v>
      </x:c>
      <x:c r="O15" s="3" t="str">
        <x:v>11</x:v>
      </x:c>
      <x:c r="P15" s="3" t="str">
        <x:v>1158</x:v>
      </x:c>
      <x:c r="Q15" s="8" t="str">
        <x:v>AKERMAK; DAITECH MOLD; HUTTOOLS</x:v>
      </x:c>
      <x:c r="R15" s="8" t="str">
        <x:v>QUIRI HYDROMECANIQUE; LUBO; FRATELLİ VERGNANO S.R.L.; WIDIA; SILMAX; KTA SPINDLE TOOLING; SWISS TOOL SYSTEMS AG; GEBRÜDER EBERHARD GMBH &amp; CO.KG; PUNCH INDUSTRY</x:v>
      </x:c>
    </x:row>
    <x:row r="16">
      <x:c r="A16" s="3" t="str">
        <x:v>AKKO MAKINA SAN. VE TIC. A.Ş.</x:v>
      </x:c>
      <x:c r="B16" s="3" t="str">
        <x:v>https://www.akko.com.tr</x:v>
      </x:c>
      <x:c r="C16" s="3" t="str">
        <x:v>export@akko.com.tr</x:v>
      </x:c>
      <x:c r="D16" s="3" t="str">
        <x:v>‎0332 239 17 57</x:v>
      </x:c>
      <x:c r="E16" s="3" t="str">
        <x:v>TAM</x:v>
      </x:c>
      <x:c r="F16" s="3" t="str">
        <x:v>SİSTEM</x:v>
      </x:c>
      <x:c r="G16" s="3" t="str">
        <x:v>medium</x:v>
      </x:c>
      <x:c r="H16" s="3" t="str">
        <x:v>85</x:v>
      </x:c>
      <x:c r="I16" s="3" t="str">
        <x:v>FARKLI_RESMI_SITE_ONCELIKLI</x:v>
      </x:c>
      <x:c r="J16" s="3" t="str">
        <x:v>‎+90 546 547 25 56</x:v>
      </x:c>
      <x:c r="K16" s="8"/>
      <x:c r="L16" s="8" t="str">
        <x:v>https://www.akko.com.tr/tr</x:v>
      </x:c>
      <x:c r="M16" s="8" t="str">
        <x:v>https://www.akko.com.tr</x:v>
      </x:c>
      <x:c r="N16" s="8" t="str">
        <x:v>https://www.maktekfuari.com/brand/akko-makina-san-ve-tic-as</x:v>
      </x:c>
      <x:c r="O16" s="3" t="str">
        <x:v>11</x:v>
      </x:c>
      <x:c r="P16" s="3" t="str">
        <x:v>1145</x:v>
      </x:c>
      <x:c r="Q16" s="8"/>
      <x:c r="R16" s="8"/>
    </x:row>
    <x:row r="17">
      <x:c r="A17" s="3" t="str">
        <x:v>AKSÜT MAKİNA METAL İNŞ. TEKS. OTO. PET. ÜRÜN. TİC. VE SAN. LTD. ŞTİ.</x:v>
      </x:c>
      <x:c r="B17" s="3" t="str">
        <x:v>https://www.aksutmakina.com</x:v>
      </x:c>
      <x:c r="C17" s="3" t="str">
        <x:v>info@aksutmakina.com</x:v>
      </x:c>
      <x:c r="D17" s="3" t="str">
        <x:v>‎0344 236 35 30</x:v>
      </x:c>
      <x:c r="E17" s="3" t="str">
        <x:v>TAM</x:v>
      </x:c>
      <x:c r="F17" s="3" t="str">
        <x:v>SİSTEM</x:v>
      </x:c>
      <x:c r="G17" s="3" t="str">
        <x:v>high</x:v>
      </x:c>
      <x:c r="H17" s="3" t="str">
        <x:v>100</x:v>
      </x:c>
      <x:c r="I17" s="3" t="str">
        <x:v>FUAR_REFERANSI_YOK</x:v>
      </x:c>
      <x:c r="J17" s="3"/>
      <x:c r="K17" s="8"/>
      <x:c r="L17" s="8" t="str">
        <x:v>https://www.aksutmakina.com</x:v>
      </x:c>
      <x:c r="M17" s="8" t="str">
        <x:v>https://www.aksutmakina.com</x:v>
      </x:c>
      <x:c r="N17" s="8" t="str">
        <x:v>https://www.maktekfuari.com/brand/aksut-makina-metal-ins-teks-oto-pet-urun-tic-ve-san-ltd-sti</x:v>
      </x:c>
      <x:c r="O17" s="3" t="str">
        <x:v>11A</x:v>
      </x:c>
      <x:c r="P17" s="3" t="str">
        <x:v>21</x:v>
      </x:c>
      <x:c r="Q17" s="8"/>
      <x:c r="R17" s="8"/>
    </x:row>
    <x:row r="18">
      <x:c r="A18" s="11" t="str">
        <x:v>AKTİF KESİCİ TAKIM HIRDAVAT MAK. SAN. TİC. LTD. ŞTİ.</x:v>
      </x:c>
      <x:c r="B18" s="11" t="str">
        <x:v>https://www.aktifkesicitakim.com.tr</x:v>
      </x:c>
      <x:c r="C18" s="11" t="str">
        <x:v>info@aktifkesicitakim.com.tr</x:v>
      </x:c>
      <x:c r="D18" s="11" t="str">
        <x:v>‎0312 395 05 16</x:v>
      </x:c>
      <x:c r="E18" s="11" t="str">
        <x:v>TAM</x:v>
      </x:c>
      <x:c r="F18" s="11" t="str">
        <x:v>MANUEL WEB DOĞRULAMA</x:v>
      </x:c>
      <x:c r="G18" s="11" t="str">
        <x:v>manual</x:v>
      </x:c>
      <x:c r="H18" s="11"/>
      <x:c r="I18" s="11" t="str">
        <x:v>MANUEL_ESLESTI</x:v>
      </x:c>
      <x:c r="J18" s="11" t="str">
        <x:v>‎+90 312 395 05 16</x:v>
      </x:c>
      <x:c r="K18" s="12" t="str">
        <x:v>Fuar domaini, ayırt edici marka, İvedik/Maxivedik adresi ve fuarla eşleşen telefon resmî sitede doğrulandı. Kimlik kanıtı: https://www.aktifkesicitakim.com.tr/hakkimizda/</x:v>
      </x:c>
      <x:c r="L18" s="12" t="str">
        <x:v>https://www.aktifkesicitakim.com.tr/iletisim/</x:v>
      </x:c>
      <x:c r="M18" s="12" t="str">
        <x:v>https://www.aktifkesicitakim.com.tr/iletisim/</x:v>
      </x:c>
      <x:c r="N18" s="12" t="str">
        <x:v>https://www.maktekfuari.com/brand/aktif-kesici-takim-hirdavat-mak-san-tic-ltd-sti</x:v>
      </x:c>
      <x:c r="O18" s="11" t="str">
        <x:v>11</x:v>
      </x:c>
      <x:c r="P18" s="11" t="str">
        <x:v>1152</x:v>
      </x:c>
      <x:c r="Q18" s="12"/>
      <x:c r="R18" s="12"/>
    </x:row>
    <x:row r="19">
      <x:c r="A19" s="3" t="str">
        <x:v>AKYAPAK MAKİNA SANAYİ TİCARET A. Ş.</x:v>
      </x:c>
      <x:c r="B19" s="3" t="str">
        <x:v>https://akyapak.com</x:v>
      </x:c>
      <x:c r="C19" s="3" t="str">
        <x:v>info@akyapakusa.com</x:v>
      </x:c>
      <x:c r="D19" s="3" t="str">
        <x:v>‎0224 280 75 00</x:v>
      </x:c>
      <x:c r="E19" s="3" t="str">
        <x:v>TAM</x:v>
      </x:c>
      <x:c r="F19" s="3" t="str">
        <x:v>SİSTEM</x:v>
      </x:c>
      <x:c r="G19" s="3" t="str">
        <x:v>medium</x:v>
      </x:c>
      <x:c r="H19" s="3" t="str">
        <x:v>89</x:v>
      </x:c>
      <x:c r="I19" s="3" t="str">
        <x:v>ESLESTI</x:v>
      </x:c>
      <x:c r="J19" s="3" t="str">
        <x:v>‎+90 224 280 75 00</x:v>
      </x:c>
      <x:c r="K19" s="8"/>
      <x:c r="L19" s="8" t="str">
        <x:v>https://akyapak.com/iletisim</x:v>
      </x:c>
      <x:c r="M19" s="8" t="str">
        <x:v>https://akyapak.com</x:v>
      </x:c>
      <x:c r="N19" s="8" t="str">
        <x:v>https://www.maktekfuari.com/brand/akyapak-makina-sanayi-ticaret-a-s</x:v>
      </x:c>
      <x:c r="O19" s="3" t="str">
        <x:v>3</x:v>
      </x:c>
      <x:c r="P19" s="3" t="str">
        <x:v>316</x:v>
      </x:c>
      <x:c r="Q19" s="8"/>
      <x:c r="R19" s="8"/>
    </x:row>
    <x:row r="20">
      <x:c r="A20" s="11" t="str">
        <x:v>ALFAMAK KALIP ELEMANLARI MAKİNA SAN. TİC. LTD. ŞTİ.</x:v>
      </x:c>
      <x:c r="B20" s="11" t="str">
        <x:v>https://alfamak.com</x:v>
      </x:c>
      <x:c r="C20" s="11" t="str">
        <x:v>alfamak@alfamak.com</x:v>
      </x:c>
      <x:c r="D20" s="11" t="str">
        <x:v>‎0224 443 06 12</x:v>
      </x:c>
      <x:c r="E20" s="11" t="str">
        <x:v>TAM</x:v>
      </x:c>
      <x:c r="F20" s="11" t="str">
        <x:v>MANUEL WEB DOĞRULAMA</x:v>
      </x:c>
      <x:c r="G20" s="11" t="str">
        <x:v>manual</x:v>
      </x:c>
      <x:c r="H20" s="11"/>
      <x:c r="I20" s="11" t="str">
        <x:v>MANUEL_ESLESTI</x:v>
      </x:c>
      <x:c r="J20" s="11" t="str">
        <x:v>‎+90 224 443 06 12</x:v>
      </x:c>
      <x:c r="K20" s="12" t="str">
        <x:v>Resmî gizlilik sayfasında tam ticari unvan; iletişim sayfasında fuarla eşleşen adres, telefon ve e-posta doğrulandı. Kimlik kanıtı: https://alfamak.com/en/privacy-policy</x:v>
      </x:c>
      <x:c r="L20" s="12" t="str">
        <x:v>https://alfamak.com/en/contact</x:v>
      </x:c>
      <x:c r="M20" s="12" t="str">
        <x:v>https://alfamak.com/en/contact</x:v>
      </x:c>
      <x:c r="N20" s="12" t="str">
        <x:v>https://www.maktekfuari.com/brand/alfamak-kalip-elemanlari-makina-san-tic-ltd-sti</x:v>
      </x:c>
      <x:c r="O20" s="11" t="str">
        <x:v>11</x:v>
      </x:c>
      <x:c r="P20" s="11" t="str">
        <x:v>1130A</x:v>
      </x:c>
      <x:c r="Q20" s="12" t="str">
        <x:v>ALFAMAK</x:v>
      </x:c>
      <x:c r="R20" s="12"/>
    </x:row>
    <x:row r="21">
      <x:c r="A21" s="11" t="str">
        <x:v>ALKA MAKİNA OTO İNŞ. ELK. İTH. İHR. SAN. VE DIŞ TİC. LTD. ŞTİ.</x:v>
      </x:c>
      <x:c r="B21" s="11" t="str">
        <x:v>https://www.alkamakina.com</x:v>
      </x:c>
      <x:c r="C21" s="11" t="str">
        <x:v>info@alkamakina.com</x:v>
      </x:c>
      <x:c r="D21" s="11" t="str">
        <x:v>‎0532 661 53 45</x:v>
      </x:c>
      <x:c r="E21" s="11" t="str">
        <x:v>TAM</x:v>
      </x:c>
      <x:c r="F21" s="11" t="str">
        <x:v>MANUEL WEB DOĞRULAMA</x:v>
      </x:c>
      <x:c r="G21" s="11" t="str">
        <x:v>manual</x:v>
      </x:c>
      <x:c r="H21" s="11"/>
      <x:c r="I21" s="11" t="str">
        <x:v>MANUEL_ESLESTI</x:v>
      </x:c>
      <x:c r="J21" s="11" t="str">
        <x:v>‎+90 532 661 53 45</x:v>
      </x:c>
      <x:c r="K21" s="12" t="str">
        <x:v>Resmî sitede Alka marka bağı, Avcılar adresi ve fuar referansıyla eşleşen cep telefonu birlikte doğrulandı. Kimlik kanıtı: https://www.alkamakina.com/index.php?anamenuID=2&amp;anakategori=Hakk%C4%B1m%C4%B1zda</x:v>
      </x:c>
      <x:c r="L21" s="12" t="str">
        <x:v>https://www.alkamakina.com/iletisim.php</x:v>
      </x:c>
      <x:c r="M21" s="12" t="str">
        <x:v>https://www.alkamakina.com/iletisim.php</x:v>
      </x:c>
      <x:c r="N21" s="12" t="str">
        <x:v>https://www.maktekfuari.com/brand/alka-makina-oto-ins-elk-ith-ihr-san-ve-dis-tic-ltd-sti</x:v>
      </x:c>
      <x:c r="O21" s="11" t="str">
        <x:v>11</x:v>
      </x:c>
      <x:c r="P21" s="11" t="str">
        <x:v>1177</x:v>
      </x:c>
      <x:c r="Q21" s="12" t="str">
        <x:v>BİAX PROFESSİONAL POWER</x:v>
      </x:c>
      <x:c r="R21" s="12"/>
    </x:row>
    <x:row r="22">
      <x:c r="A22" s="11" t="str">
        <x:v>ALTAN MAKİNA HIR. SAN TİC A.Ş.</x:v>
      </x:c>
      <x:c r="B22" s="11" t="str">
        <x:v>https://www.altan-makina.com</x:v>
      </x:c>
      <x:c r="C22" s="11"/>
      <x:c r="D22" s="11" t="str">
        <x:v>‎0216 527 93 64</x:v>
      </x:c>
      <x:c r="E22" s="11" t="str">
        <x:v>KISMI</x:v>
      </x:c>
      <x:c r="F22" s="11" t="str">
        <x:v>MANUEL WEB DOĞRULAMA</x:v>
      </x:c>
      <x:c r="G22" s="11" t="str">
        <x:v>manual</x:v>
      </x:c>
      <x:c r="H22" s="11"/>
      <x:c r="I22" s="11" t="str">
        <x:v>FUAR_REFERANSI_YOK</x:v>
      </x:c>
      <x:c r="J22" s="11"/>
      <x:c r="K22" s="12" t="str">
        <x:v>Resmî kurumsal sayfada Altan Makina Hırdavat Sanayi ve Ticaret A.Ş. unvanı doğrulandı; sitede e-posta yayımlanmadığı için yalnız telefon alındı. Kimlik kanıtı: https://www.altan-makina.com/kurumsal/</x:v>
      </x:c>
      <x:c r="L22" s="12"/>
      <x:c r="M22" s="12" t="str">
        <x:v>https://www.altan-makina.com/iletisim/</x:v>
      </x:c>
      <x:c r="N22" s="12" t="str">
        <x:v>https://www.maktekfuari.com/brand/altan-makina-hir-san-tic-as</x:v>
      </x:c>
      <x:c r="O22" s="11" t="str">
        <x:v>11</x:v>
      </x:c>
      <x:c r="P22" s="11" t="str">
        <x:v>1141</x:v>
      </x:c>
      <x:c r="Q22" s="12"/>
      <x:c r="R22" s="12"/>
    </x:row>
    <x:row r="23">
      <x:c r="A23" s="3" t="str">
        <x:v>ALTERNATİF RULMAN A.Ş.</x:v>
      </x:c>
      <x:c r="B23" s="3" t="str">
        <x:v>https://www.alternatifrulman.com</x:v>
      </x:c>
      <x:c r="C23" s="3" t="str">
        <x:v>bilgi@alternatifrulman.com</x:v>
      </x:c>
      <x:c r="D23" s="3" t="str">
        <x:v>‎0332 345 03 55</x:v>
      </x:c>
      <x:c r="E23" s="3" t="str">
        <x:v>TAM</x:v>
      </x:c>
      <x:c r="F23" s="3" t="str">
        <x:v>SİSTEM</x:v>
      </x:c>
      <x:c r="G23" s="3" t="str">
        <x:v>high</x:v>
      </x:c>
      <x:c r="H23" s="3" t="str">
        <x:v>100</x:v>
      </x:c>
      <x:c r="I23" s="3" t="str">
        <x:v>FUAR_REFERANSI_YOK</x:v>
      </x:c>
      <x:c r="J23" s="3"/>
      <x:c r="K23" s="8"/>
      <x:c r="L23" s="8" t="str">
        <x:v>https://www.alternatifrulman.com/iletisim</x:v>
      </x:c>
      <x:c r="M23" s="8" t="str">
        <x:v>https://www.alternatifrulman.com/iletisim</x:v>
      </x:c>
      <x:c r="N23" s="8" t="str">
        <x:v>https://www.maktekfuari.com/brand/alternatif-rulman-as</x:v>
      </x:c>
      <x:c r="O23" s="3" t="str">
        <x:v>6</x:v>
      </x:c>
      <x:c r="P23" s="3" t="str">
        <x:v>622</x:v>
      </x:c>
      <x:c r="Q23" s="8"/>
      <x:c r="R23" s="8"/>
    </x:row>
    <x:row r="24">
      <x:c r="A24" s="11" t="str">
        <x:v>ARAN MAKİNA SAN.VE TİC. AHMET ARMUTÇUOĞLU</x:v>
      </x:c>
      <x:c r="B24" s="11" t="str">
        <x:v>https://www.aranmakina.com</x:v>
      </x:c>
      <x:c r="C24" s="11"/>
      <x:c r="D24" s="11" t="str">
        <x:v>‎0212 613 92 53</x:v>
      </x:c>
      <x:c r="E24" s="11" t="str">
        <x:v>KISMI</x:v>
      </x:c>
      <x:c r="F24" s="11" t="str">
        <x:v>MANUEL WEB DOĞRULAMA</x:v>
      </x:c>
      <x:c r="G24" s="11" t="str">
        <x:v>manual</x:v>
      </x:c>
      <x:c r="H24" s="11"/>
      <x:c r="I24" s="11" t="str">
        <x:v>FUAR_REFERANSI_YOK</x:v>
      </x:c>
      <x:c r="J24" s="11"/>
      <x:c r="K24" s="12" t="str">
        <x:v>Resmî site üzerindeki ayırt edici marka/ticari unvan, Türkiye adresi veya fuar telefon eşleşmesiyle kimlik doğrulandı. İletişim yalnız doğrulanan resmî siteden alındı. Kimlik kanıtı: https://www.aranmakina.com/</x:v>
      </x:c>
      <x:c r="L24" s="12"/>
      <x:c r="M24" s="12" t="str">
        <x:v>https://www.aranmakina.com/</x:v>
      </x:c>
      <x:c r="N24" s="12" t="str">
        <x:v>https://www.maktekfuari.com/brand/aran-makina-sanve-tic-ahmet-armutcuoglu</x:v>
      </x:c>
      <x:c r="O24" s="11" t="str">
        <x:v>4</x:v>
      </x:c>
      <x:c r="P24" s="11" t="str">
        <x:v>406</x:v>
      </x:c>
      <x:c r="Q24" s="12"/>
      <x:c r="R24" s="12"/>
    </x:row>
    <x:row r="25">
      <x:c r="A25" s="11" t="str">
        <x:v>ARİF ALAÇAM RULMAN TİC. VE SAN. LTD. ŞTİ.</x:v>
      </x:c>
      <x:c r="B25" s="11" t="str">
        <x:v>https://www.alacam.com.tr</x:v>
      </x:c>
      <x:c r="C25" s="11" t="str">
        <x:v>info@alacam.com.tr</x:v>
      </x:c>
      <x:c r="D25" s="11" t="str">
        <x:v>‎0232 449 55 45</x:v>
      </x:c>
      <x:c r="E25" s="11" t="str">
        <x:v>TAM</x:v>
      </x:c>
      <x:c r="F25" s="11" t="str">
        <x:v>MANUEL WEB DOĞRULAMA</x:v>
      </x:c>
      <x:c r="G25" s="11" t="str">
        <x:v>manual</x:v>
      </x:c>
      <x:c r="H25" s="11"/>
      <x:c r="I25" s="11" t="str">
        <x:v>FUAR_REFERANSI_YOK</x:v>
      </x:c>
      <x:c r="J25" s="11"/>
      <x:c r="K25" s="12" t="str">
        <x:v>Resmî Hakkımızda ve İletişim sayfalarında tam unvan, İzmir adresi, telefon ve e-posta doğrulandı. Kimlik kanıtı: https://www.alacam.com.tr/hakkimizda.aspx</x:v>
      </x:c>
      <x:c r="L25" s="12" t="str">
        <x:v>https://www.alacam.com.tr/iletisim.aspx</x:v>
      </x:c>
      <x:c r="M25" s="12" t="str">
        <x:v>https://www.alacam.com.tr/iletisim.aspx</x:v>
      </x:c>
      <x:c r="N25" s="12" t="str">
        <x:v>https://www.maktekfuari.com/brand/arif-alacam-rulman-tic-ve-san-ltd-sti</x:v>
      </x:c>
      <x:c r="O25" s="11" t="str">
        <x:v>9</x:v>
      </x:c>
      <x:c r="P25" s="11" t="str">
        <x:v>908</x:v>
      </x:c>
      <x:c r="Q25" s="12"/>
      <x:c r="R25" s="12"/>
    </x:row>
    <x:row r="26">
      <x:c r="A26" s="3" t="str">
        <x:v>ARMADA YAZILIM A.Ş.</x:v>
      </x:c>
      <x:c r="B26" s="3" t="str">
        <x:v>https://www.armadayazilim.com</x:v>
      </x:c>
      <x:c r="C26" s="3" t="str">
        <x:v>info@armadayazilim.com</x:v>
      </x:c>
      <x:c r="D26" s="3" t="str">
        <x:v>‎0216 379 83 79</x:v>
      </x:c>
      <x:c r="E26" s="3" t="str">
        <x:v>TAM</x:v>
      </x:c>
      <x:c r="F26" s="3" t="str">
        <x:v>SİSTEM</x:v>
      </x:c>
      <x:c r="G26" s="3" t="str">
        <x:v>medium</x:v>
      </x:c>
      <x:c r="H26" s="3" t="str">
        <x:v>85</x:v>
      </x:c>
      <x:c r="I26" s="3" t="str">
        <x:v>ESLESTI</x:v>
      </x:c>
      <x:c r="J26" s="3" t="str">
        <x:v>‎+90 216 379 83 79</x:v>
      </x:c>
      <x:c r="K26" s="8"/>
      <x:c r="L26" s="8" t="str">
        <x:v>https://www.armadayazilim.com/iletisim</x:v>
      </x:c>
      <x:c r="M26" s="8" t="str">
        <x:v>https://www.armadayazilim.com/iletisim</x:v>
      </x:c>
      <x:c r="N26" s="8" t="str">
        <x:v>https://www.maktekfuari.com/brand/armada-yazilim-as</x:v>
      </x:c>
      <x:c r="O26" s="3" t="str">
        <x:v>12</x:v>
      </x:c>
      <x:c r="P26" s="3" t="str">
        <x:v>1205</x:v>
      </x:c>
      <x:c r="Q26" s="8"/>
      <x:c r="R26" s="8"/>
    </x:row>
    <x:row r="27">
      <x:c r="A27" s="11" t="str">
        <x:v>ARP TEKNİK MAKİNA SAN. VE TİC. LTD.ŞTİ</x:v>
      </x:c>
      <x:c r="B27" s="11" t="str">
        <x:v>https://arpteknik.com</x:v>
      </x:c>
      <x:c r="C27" s="11"/>
      <x:c r="D27" s="11"/>
      <x:c r="E27" s="11" t="str">
        <x:v>KISMI</x:v>
      </x:c>
      <x:c r="F27" s="11" t="str">
        <x:v>MANUEL WEB DOĞRULAMA</x:v>
      </x:c>
      <x:c r="G27" s="11" t="str">
        <x:v>manual</x:v>
      </x:c>
      <x:c r="H27" s="11"/>
      <x:c r="I27" s="11" t="str">
        <x:v>TELEFON_YOK</x:v>
      </x:c>
      <x:c r="J27" s="11" t="str">
        <x:v>‎+90 532 445 76 76</x:v>
      </x:c>
      <x:c r="K27" s="12" t="str">
        <x:v>Resmî sitenin kendi footer alanında tam ticari unvan ve Kadıköy adresi doğrulandı; sitede yayımlanmış e-posta/telefon bulunamadı. Kimlik kanıtı: https://arpteknik.com/</x:v>
      </x:c>
      <x:c r="L27" s="12"/>
      <x:c r="M27" s="12"/>
      <x:c r="N27" s="12" t="str">
        <x:v>https://www.maktekfuari.com/brand/arp-teknik-makina-san-ve-tic-ltdsti</x:v>
      </x:c>
      <x:c r="O27" s="11" t="str">
        <x:v>11</x:v>
      </x:c>
      <x:c r="P27" s="11" t="str">
        <x:v>1174B</x:v>
      </x:c>
      <x:c r="Q27" s="12"/>
      <x:c r="R27" s="12" t="str">
        <x:v>TBT Tiefbohrtechnik GmbH + Co; BTA-Tiefbohrsysteme</x:v>
      </x:c>
    </x:row>
    <x:row r="28">
      <x:c r="A28" s="3" t="str">
        <x:v>ASTOR KONVEYÖR SİSTEMLERİ METAL MAKİNA ELEKTRİK OTOMASYON SAN. VE TİC. LTD. ŞTİ.</x:v>
      </x:c>
      <x:c r="B28" s="3" t="str">
        <x:v>https://astorkonveyor.com</x:v>
      </x:c>
      <x:c r="C28" s="3" t="str">
        <x:v>astor@astorkonveyor.com.tr</x:v>
      </x:c>
      <x:c r="D28" s="3" t="str">
        <x:v>‎0332 342 27 90</x:v>
      </x:c>
      <x:c r="E28" s="3" t="str">
        <x:v>TAM</x:v>
      </x:c>
      <x:c r="F28" s="3" t="str">
        <x:v>SİSTEM</x:v>
      </x:c>
      <x:c r="G28" s="3" t="str">
        <x:v>high</x:v>
      </x:c>
      <x:c r="H28" s="3" t="str">
        <x:v>93</x:v>
      </x:c>
      <x:c r="I28" s="3" t="str">
        <x:v>ESLESTI</x:v>
      </x:c>
      <x:c r="J28" s="3" t="str">
        <x:v>‎+90 332 342 27 90</x:v>
      </x:c>
      <x:c r="K28" s="8"/>
      <x:c r="L28" s="8" t="str">
        <x:v>https://astorkonveyor.com</x:v>
      </x:c>
      <x:c r="M28" s="8" t="str">
        <x:v>https://astorkonveyor.com</x:v>
      </x:c>
      <x:c r="N28" s="8" t="str">
        <x:v>https://www.maktekfuari.com/brand/astor-konveyor-sistemleri-metal-makina-elektrik-otomasyon-san-ve-tic-ltd-sti</x:v>
      </x:c>
      <x:c r="O28" s="3" t="str">
        <x:v>9</x:v>
      </x:c>
      <x:c r="P28" s="3" t="str">
        <x:v>915</x:v>
      </x:c>
      <x:c r="Q28" s="8" t="str">
        <x:v>Mist ZERO; Sludge ZERO; Cooling ZERO; Chip ZERO</x:v>
      </x:c>
      <x:c r="R28" s="8" t="str">
        <x:v>FILTERMIST</x:v>
      </x:c>
    </x:row>
    <x:row r="29">
      <x:c r="A29" s="11" t="str">
        <x:v>ATİK ENDÜSTRİYEL KAY. TEKN. SAN. VE TİC. A. Ş.</x:v>
      </x:c>
      <x:c r="B29" s="11" t="str">
        <x:v>https://atikwelding.com/</x:v>
      </x:c>
      <x:c r="C29" s="11" t="str">
        <x:v>insales@atik.com.tr</x:v>
      </x:c>
      <x:c r="D29" s="11" t="str">
        <x:v>‎+90 224 482 43 35</x:v>
      </x:c>
      <x:c r="E29" s="11" t="str">
        <x:v>TAM</x:v>
      </x:c>
      <x:c r="F29" s="11" t="str">
        <x:v>MANUEL WEB DOĞRULAMA</x:v>
      </x:c>
      <x:c r="G29" s="11" t="str">
        <x:v>manual</x:v>
      </x:c>
      <x:c r="H29" s="11"/>
      <x:c r="I29" s="11" t="str">
        <x:v>FUAR_REFERANSI_YOK</x:v>
      </x:c>
      <x:c r="J29" s="11"/>
      <x:c r="K29" s="12" t="str">
        <x:v>Resmî site üzerindeki ayırt edici marka/ticari unvan, Türkiye adresi veya fuar telefon eşleşmesiyle kimlik doğrulandı. İletişim yalnız doğrulanan resmî siteden alındı. Kimlik kanıtı: https://atikwelding.com/</x:v>
      </x:c>
      <x:c r="L29" s="12" t="str">
        <x:v>https://atikwelding.com/</x:v>
      </x:c>
      <x:c r="M29" s="12" t="str">
        <x:v>https://atikwelding.com/</x:v>
      </x:c>
      <x:c r="N29" s="12" t="str">
        <x:v>https://www.maktekfuari.com/brand/atik-endustriyel-kay-tekn-san-ve-tic-a-s</x:v>
      </x:c>
      <x:c r="O29" s="11" t="str">
        <x:v>2</x:v>
      </x:c>
      <x:c r="P29" s="11" t="str">
        <x:v>200B</x:v>
      </x:c>
      <x:c r="Q29" s="12"/>
      <x:c r="R29" s="12"/>
    </x:row>
    <x:row r="30">
      <x:c r="A30" s="11" t="str">
        <x:v>ATLIER RULMANCILIK ENDÜSTRİYEL EKİPMAN TİCARET VE SANAYİ LİMİTED ŞİRKETİ</x:v>
      </x:c>
      <x:c r="B30" s="11" t="str">
        <x:v>https://atlierrulmancilik.com</x:v>
      </x:c>
      <x:c r="C30" s="11" t="str">
        <x:v>info@atlier.com.tr</x:v>
      </x:c>
      <x:c r="D30" s="11" t="str">
        <x:v>‎0232 459 10 26</x:v>
      </x:c>
      <x:c r="E30" s="11" t="str">
        <x:v>TAM</x:v>
      </x:c>
      <x:c r="F30" s="11" t="str">
        <x:v>MANUEL WEB DOĞRULAMA</x:v>
      </x:c>
      <x:c r="G30" s="11" t="str">
        <x:v>manual</x:v>
      </x:c>
      <x:c r="H30" s="11"/>
      <x:c r="I30" s="11" t="str">
        <x:v>FUAR_REFERANSI_YOK</x:v>
      </x:c>
      <x:c r="J30" s="11"/>
      <x:c r="K30" s="12" t="str">
        <x:v>Resmî sitede kısaltılmış tam unvan ve faaliyet bağı doğrulandı; farklı domainli e-posta aynı resmî iletişim sayfasında yayımlanıyor ve MX kaydı mevcut. Kimlik kanıtı: https://atlierrulmancilik.com/about</x:v>
      </x:c>
      <x:c r="L30" s="12" t="str">
        <x:v>https://atlierrulmancilik.com/contact</x:v>
      </x:c>
      <x:c r="M30" s="12" t="str">
        <x:v>https://atlierrulmancilik.com/contact</x:v>
      </x:c>
      <x:c r="N30" s="12" t="str">
        <x:v>https://www.maktekfuari.com/brand/atlier-rulmancilik-endustriyel-ekipman-ticaret-ve-sanayi-limited-sirketi</x:v>
      </x:c>
      <x:c r="O30" s="11" t="str">
        <x:v>6</x:v>
      </x:c>
      <x:c r="P30" s="11" t="str">
        <x:v>618</x:v>
      </x:c>
      <x:c r="Q30" s="12"/>
      <x:c r="R30" s="12"/>
    </x:row>
    <x:row r="31">
      <x:c r="A31" s="11" t="str">
        <x:v>AYD KURUMSAL TEKNİK VE NÜKLEER HİZMETLER DANIŞMANLIK TİC. LTD. ŞTİ.</x:v>
      </x:c>
      <x:c r="B31" s="11" t="str">
        <x:v>https://ayddanismanlik.com</x:v>
      </x:c>
      <x:c r="C31" s="11" t="str">
        <x:v>info@ayddanismanlik.com</x:v>
      </x:c>
      <x:c r="D31" s="11" t="str">
        <x:v>‎0216 463 35 60</x:v>
      </x:c>
      <x:c r="E31" s="11" t="str">
        <x:v>TAM</x:v>
      </x:c>
      <x:c r="F31" s="11" t="str">
        <x:v>MANUEL WEB DOĞRULAMA</x:v>
      </x:c>
      <x:c r="G31" s="11" t="str">
        <x:v>manual</x:v>
      </x:c>
      <x:c r="H31" s="11"/>
      <x:c r="I31" s="11" t="str">
        <x:v>FARKLI_RESMI_SITE_ONCELIKLI</x:v>
      </x:c>
      <x:c r="J31" s="11" t="str">
        <x:v>‎+90 530 110 72 95</x:v>
      </x:c>
      <x:c r="K31" s="12" t="str">
        <x:v>Fuar domaini ile resmî site aynı; ayırt edici nükleer/teknik hizmet kapsamı ve Brandium adresi eşleşiyor. Resmî site telefonu esas alındı. Kimlik kanıtı: https://ayddanismanlik.com/hakkimizda/</x:v>
      </x:c>
      <x:c r="L31" s="12" t="str">
        <x:v>https://ayddanismanlik.com/iletisim/</x:v>
      </x:c>
      <x:c r="M31" s="12" t="str">
        <x:v>https://ayddanismanlik.com/iletisim/</x:v>
      </x:c>
      <x:c r="N31" s="12" t="str">
        <x:v>https://www.maktekfuari.com/brand/ayd-kurumsal-teknik-ve-nukleer-hizmetler-danismanlik-tic-ltd-sti</x:v>
      </x:c>
      <x:c r="O31" s="11" t="str">
        <x:v>6</x:v>
      </x:c>
      <x:c r="P31" s="11" t="str">
        <x:v>617</x:v>
      </x:c>
      <x:c r="Q31" s="12"/>
      <x:c r="R31" s="12" t="str">
        <x:v>SGM srl New TEM; HÖCKH Metall-Reinigungsanlagen GmbH</x:v>
      </x:c>
    </x:row>
    <x:row r="32">
      <x:c r="A32" s="3" t="str">
        <x:v>AZE OTOMASYON EĞİTİM VE DANIŞMANLIK AŞ</x:v>
      </x:c>
      <x:c r="B32" s="3" t="str">
        <x:v>https://www.azeotomasyon.com</x:v>
      </x:c>
      <x:c r="C32" s="3" t="str">
        <x:v>info@azeotomasyon.com</x:v>
      </x:c>
      <x:c r="D32" s="3" t="str">
        <x:v>‎0216 621 21 12</x:v>
      </x:c>
      <x:c r="E32" s="3" t="str">
        <x:v>TAM</x:v>
      </x:c>
      <x:c r="F32" s="3" t="str">
        <x:v>SİSTEM</x:v>
      </x:c>
      <x:c r="G32" s="3" t="str">
        <x:v>high</x:v>
      </x:c>
      <x:c r="H32" s="3" t="str">
        <x:v>100</x:v>
      </x:c>
      <x:c r="I32" s="3" t="str">
        <x:v>ESLESTI</x:v>
      </x:c>
      <x:c r="J32" s="3" t="str">
        <x:v>‎+90 216 621 21 12</x:v>
      </x:c>
      <x:c r="K32" s="8"/>
      <x:c r="L32" s="8" t="str">
        <x:v>https://www.azeotomasyon.com</x:v>
      </x:c>
      <x:c r="M32" s="8" t="str">
        <x:v>https://www.azeotomasyon.com</x:v>
      </x:c>
      <x:c r="N32" s="8" t="str">
        <x:v>https://www.maktekfuari.com/brand/aze-otomasyon-egitim-ve-danismanlik-as</x:v>
      </x:c>
      <x:c r="O32" s="3" t="str">
        <x:v>6</x:v>
      </x:c>
      <x:c r="P32" s="3" t="str">
        <x:v>601</x:v>
      </x:c>
      <x:c r="Q32" s="8" t="str">
        <x:v>AZEPAS</x:v>
      </x:c>
      <x:c r="R32" s="8" t="str">
        <x:v>METROLOGIC DSC; STEINMEYER Test ve Kalibrasyon Sistemleri</x:v>
      </x:c>
    </x:row>
    <x:row r="33">
      <x:c r="A33" s="3" t="str">
        <x:v>BARIŞ POLİMER SAN. İTH. İHR. END. VE TİC. LTD. ŞTİ.</x:v>
      </x:c>
      <x:c r="B33" s="3" t="str">
        <x:v>http://www.barisithalat.com</x:v>
      </x:c>
      <x:c r="C33" s="3" t="str">
        <x:v>info@barisithalat.com</x:v>
      </x:c>
      <x:c r="D33" s="3" t="str">
        <x:v>‎0216 463 16 65</x:v>
      </x:c>
      <x:c r="E33" s="3" t="str">
        <x:v>TAM</x:v>
      </x:c>
      <x:c r="F33" s="3" t="str">
        <x:v>SİSTEM</x:v>
      </x:c>
      <x:c r="G33" s="3" t="str">
        <x:v>medium</x:v>
      </x:c>
      <x:c r="H33" s="3" t="str">
        <x:v>85</x:v>
      </x:c>
      <x:c r="I33" s="3" t="str">
        <x:v>ESLESTI</x:v>
      </x:c>
      <x:c r="J33" s="3" t="str">
        <x:v>‎+90 216 463 16 65</x:v>
      </x:c>
      <x:c r="K33" s="8"/>
      <x:c r="L33" s="8" t="str">
        <x:v>http://www.barisithalat.com/iletisim.html</x:v>
      </x:c>
      <x:c r="M33" s="8" t="str">
        <x:v>http://www.barisithalat.com/iletisim.html</x:v>
      </x:c>
      <x:c r="N33" s="8" t="str">
        <x:v>https://www.maktekfuari.com/brand/baris-polimer-san-ith-ihr-end-ve-tic-ltd-sti</x:v>
      </x:c>
      <x:c r="O33" s="3" t="str">
        <x:v>11</x:v>
      </x:c>
      <x:c r="P33" s="3" t="str">
        <x:v>1181</x:v>
      </x:c>
      <x:c r="Q33" s="8" t="str">
        <x:v>STARTOOL</x:v>
      </x:c>
      <x:c r="R33" s="8" t="str">
        <x:v>STARTOOL; SHIN YAIN; HALDER; HAM TOOLS; RINECK</x:v>
      </x:c>
    </x:row>
    <x:row r="34">
      <x:c r="A34" s="11" t="str">
        <x:v>BARTEKNİK MAKİNA SERVİS &amp; SERVİS ÇUBUK SÜRÜCÜ SİSTEMLERİ SAN. TİC. LTD. ŞTİ.</x:v>
      </x:c>
      <x:c r="B34" s="11" t="str">
        <x:v>https://barteknikmakina.com</x:v>
      </x:c>
      <x:c r="C34" s="11" t="str">
        <x:v>info@barteknikmakina.com</x:v>
      </x:c>
      <x:c r="D34" s="11" t="str">
        <x:v>‎0312 544 10 60</x:v>
      </x:c>
      <x:c r="E34" s="11" t="str">
        <x:v>TAM</x:v>
      </x:c>
      <x:c r="F34" s="11" t="str">
        <x:v>MANUEL WEB DOĞRULAMA</x:v>
      </x:c>
      <x:c r="G34" s="11" t="str">
        <x:v>manual</x:v>
      </x:c>
      <x:c r="H34" s="11"/>
      <x:c r="I34" s="11" t="str">
        <x:v>FARKLI_RESMI_SITE_ONCELIKLI</x:v>
      </x:c>
      <x:c r="J34" s="11" t="str">
        <x:v>‎+90 506 838 17 14</x:v>
      </x:c>
      <x:c r="K34" s="12" t="str">
        <x:v>Fuar domaini, uzun ayırt edici Barteknik/çubuk sürücü faaliyet bağı ve Atlantik iş merkezi adresi doğrulandı. Resmî site telefonu esas alındı. Kimlik kanıtı: https://barteknikmakina.com/hakkimizda/</x:v>
      </x:c>
      <x:c r="L34" s="12" t="str">
        <x:v>https://barteknikmakina.com/iletisim/</x:v>
      </x:c>
      <x:c r="M34" s="12" t="str">
        <x:v>https://barteknikmakina.com/iletisim/</x:v>
      </x:c>
      <x:c r="N34" s="12" t="str">
        <x:v>https://www.maktekfuari.com/brand/barteknik-makina-servis-servis-cubuk-surucu-sistemleri-san-tic-ltd-sti</x:v>
      </x:c>
      <x:c r="O34" s="11" t="str">
        <x:v>9</x:v>
      </x:c>
      <x:c r="P34" s="11" t="str">
        <x:v>916</x:v>
      </x:c>
      <x:c r="Q34" s="12" t="str">
        <x:v>BARTEKNİK MAKİNA</x:v>
      </x:c>
      <x:c r="R34" s="12"/>
    </x:row>
    <x:row r="35">
      <x:c r="A35" s="3" t="str">
        <x:v>BAŞARANLAR CNC MAKİNA TAKIM SAN. VE TİC. LTD. ŞTİ.</x:v>
      </x:c>
      <x:c r="B35" s="3" t="str">
        <x:v>https://www.hasstak.com</x:v>
      </x:c>
      <x:c r="C35" s="3" t="str">
        <x:v>info@hasstak.com</x:v>
      </x:c>
      <x:c r="D35" s="3" t="str">
        <x:v>‎0216 352 08 51</x:v>
      </x:c>
      <x:c r="E35" s="3" t="str">
        <x:v>TAM</x:v>
      </x:c>
      <x:c r="F35" s="3" t="str">
        <x:v>SİSTEM</x:v>
      </x:c>
      <x:c r="G35" s="3" t="str">
        <x:v>high</x:v>
      </x:c>
      <x:c r="H35" s="3" t="str">
        <x:v>100</x:v>
      </x:c>
      <x:c r="I35" s="3" t="str">
        <x:v>ESLESTI</x:v>
      </x:c>
      <x:c r="J35" s="3" t="str">
        <x:v>‎+90 216 352 08 51</x:v>
      </x:c>
      <x:c r="K35" s="8"/>
      <x:c r="L35" s="8" t="str">
        <x:v>https://www.hasstak.com</x:v>
      </x:c>
      <x:c r="M35" s="8" t="str">
        <x:v>https://www.hasstak.com</x:v>
      </x:c>
      <x:c r="N35" s="8" t="str">
        <x:v>https://www.maktekfuari.com/brand/basaranlar-cnc-makina-takim-san-ve-tic-ltd-sti</x:v>
      </x:c>
      <x:c r="O35" s="3" t="str">
        <x:v>11</x:v>
      </x:c>
      <x:c r="P35" s="3" t="str">
        <x:v>1169</x:v>
      </x:c>
      <x:c r="Q35" s="8" t="str">
        <x:v>Hasstak; Hassbara</x:v>
      </x:c>
      <x:c r="R35" s="8"/>
    </x:row>
    <x:row r="36">
      <x:c r="A36" s="3" t="str">
        <x:v>BAYKAL MAKİNA SAN. VE TİC. A. Ş.</x:v>
      </x:c>
      <x:c r="B36" s="3" t="str">
        <x:v>https://www.baykal.com.tr</x:v>
      </x:c>
      <x:c r="C36" s="3" t="str">
        <x:v>baykal@baykal.com.tr</x:v>
      </x:c>
      <x:c r="D36" s="3" t="str">
        <x:v>‎0224 243 12 86</x:v>
      </x:c>
      <x:c r="E36" s="3" t="str">
        <x:v>TAM</x:v>
      </x:c>
      <x:c r="F36" s="3" t="str">
        <x:v>SİSTEM</x:v>
      </x:c>
      <x:c r="G36" s="3" t="str">
        <x:v>high</x:v>
      </x:c>
      <x:c r="H36" s="3" t="str">
        <x:v>100</x:v>
      </x:c>
      <x:c r="I36" s="3" t="str">
        <x:v>FARKLI_RESMI_SITE_ONCELIKLI</x:v>
      </x:c>
      <x:c r="J36" s="3" t="str">
        <x:v>‎+90 530 178 86 81</x:v>
      </x:c>
      <x:c r="K36" s="8"/>
      <x:c r="L36" s="8" t="str">
        <x:v>https://www.baykal.com.tr</x:v>
      </x:c>
      <x:c r="M36" s="8" t="str">
        <x:v>https://www.baykal.com.tr/contact.html</x:v>
      </x:c>
      <x:c r="N36" s="8" t="str">
        <x:v>https://www.maktekfuari.com/brand/baykal-makina-san-ve-tic-a-s</x:v>
      </x:c>
      <x:c r="O36" s="3" t="str">
        <x:v>3</x:v>
      </x:c>
      <x:c r="P36" s="3" t="str">
        <x:v>314</x:v>
      </x:c>
      <x:c r="Q36" s="8" t="str">
        <x:v>Baykal</x:v>
      </x:c>
      <x:c r="R36" s="8" t="str">
        <x:v>BAYKAL GmbH</x:v>
      </x:c>
    </x:row>
    <x:row r="37">
      <x:c r="A37" s="3" t="str">
        <x:v>BAYSEL MAKİNA SANAYİ VE TİC. LTD. ŞTİ.</x:v>
      </x:c>
      <x:c r="B37" s="3" t="str">
        <x:v>https://baysel.com.tr</x:v>
      </x:c>
      <x:c r="C37" s="3" t="str">
        <x:v>info@baysel.com.tr</x:v>
      </x:c>
      <x:c r="D37" s="3" t="str">
        <x:v>‎0212 576 26 98</x:v>
      </x:c>
      <x:c r="E37" s="3" t="str">
        <x:v>TAM</x:v>
      </x:c>
      <x:c r="F37" s="3" t="str">
        <x:v>SİSTEM</x:v>
      </x:c>
      <x:c r="G37" s="3" t="str">
        <x:v>high</x:v>
      </x:c>
      <x:c r="H37" s="3" t="str">
        <x:v>100</x:v>
      </x:c>
      <x:c r="I37" s="3" t="str">
        <x:v>FARKLI_RESMI_SITE_ONCELIKLI</x:v>
      </x:c>
      <x:c r="J37" s="3" t="str">
        <x:v>‎+90 532 774 87 47</x:v>
      </x:c>
      <x:c r="K37" s="8"/>
      <x:c r="L37" s="8" t="str">
        <x:v>https://baysel.com.tr</x:v>
      </x:c>
      <x:c r="M37" s="8" t="str">
        <x:v>https://baysel.com.tr/iletisim</x:v>
      </x:c>
      <x:c r="N37" s="8" t="str">
        <x:v>https://www.maktekfuari.com/brand/baysel-makina-sanayi-ve-tic-ltd-sti</x:v>
      </x:c>
      <x:c r="O37" s="3" t="str">
        <x:v>5</x:v>
      </x:c>
      <x:c r="P37" s="3" t="str">
        <x:v>513</x:v>
      </x:c>
      <x:c r="Q37" s="8"/>
      <x:c r="R37" s="8" t="str">
        <x:v>JINN FA MACHINE INDUSTRIAL CO., LTD.; BARLOAD MACHINE CO.,LTD.</x:v>
      </x:c>
    </x:row>
    <x:row r="38">
      <x:c r="A38" s="3" t="str">
        <x:v>BBEND MAKİNA İTHALAT İHRACAT SAN. EV TİC. LTD. ŞTİ.</x:v>
      </x:c>
      <x:c r="B38" s="3" t="str">
        <x:v>https://www.bbendmakina.com</x:v>
      </x:c>
      <x:c r="C38" s="3" t="str">
        <x:v>sales@bbendmakina.com</x:v>
      </x:c>
      <x:c r="D38" s="3" t="str">
        <x:v>‎0224 493 21 21</x:v>
      </x:c>
      <x:c r="E38" s="3" t="str">
        <x:v>TAM</x:v>
      </x:c>
      <x:c r="F38" s="3" t="str">
        <x:v>SİSTEM</x:v>
      </x:c>
      <x:c r="G38" s="3" t="str">
        <x:v>medium</x:v>
      </x:c>
      <x:c r="H38" s="3" t="str">
        <x:v>81</x:v>
      </x:c>
      <x:c r="I38" s="3" t="str">
        <x:v>FARKLI_RESMI_SITE_ONCELIKLI</x:v>
      </x:c>
      <x:c r="J38" s="3" t="str">
        <x:v>‎+90 554 494 94 40</x:v>
      </x:c>
      <x:c r="K38" s="8"/>
      <x:c r="L38" s="8" t="str">
        <x:v>https://www.bbendmakina.com</x:v>
      </x:c>
      <x:c r="M38" s="8" t="str">
        <x:v>https://www.bbendmakina.com</x:v>
      </x:c>
      <x:c r="N38" s="8" t="str">
        <x:v>https://www.maktekfuari.com/brand/bbend-makina-ithalat-ihracat-san-ev-tic-ltd-sti</x:v>
      </x:c>
      <x:c r="O38" s="3" t="str">
        <x:v>1</x:v>
      </x:c>
      <x:c r="P38" s="3" t="str">
        <x:v>106</x:v>
      </x:c>
      <x:c r="Q38" s="8" t="str">
        <x:v>BBEND MAKİNA</x:v>
      </x:c>
      <x:c r="R38" s="8"/>
    </x:row>
    <x:row r="39">
      <x:c r="A39" s="11" t="str">
        <x:v>BEKA-MAK MAKİNA SANAYİ VE TİC. A. Ş.</x:v>
      </x:c>
      <x:c r="B39" s="11" t="str">
        <x:v>https://www.bekamak.com/</x:v>
      </x:c>
      <x:c r="C39" s="11" t="str">
        <x:v>info@bekamak.com</x:v>
      </x:c>
      <x:c r="D39" s="11" t="str">
        <x:v>‎+90 224 449 03 61</x:v>
      </x:c>
      <x:c r="E39" s="11" t="str">
        <x:v>TAM</x:v>
      </x:c>
      <x:c r="F39" s="11" t="str">
        <x:v>MANUEL WEB DOĞRULAMA</x:v>
      </x:c>
      <x:c r="G39" s="11" t="str">
        <x:v>manual</x:v>
      </x:c>
      <x:c r="H39" s="11"/>
      <x:c r="I39" s="11" t="str">
        <x:v>FUAR_REFERANSI_YOK</x:v>
      </x:c>
      <x:c r="J39" s="11"/>
      <x:c r="K39" s="12" t="str">
        <x:v>Resmî site üzerindeki ayırt edici marka/ticari unvan, Türkiye adresi veya fuar telefon eşleşmesiyle kimlik doğrulandı. İletişim yalnız doğrulanan resmî siteden alındı. Kimlik kanıtı: https://www.bekamak.com/veri-sahibi-basvuru-formu.pdf</x:v>
      </x:c>
      <x:c r="L39" s="12" t="str">
        <x:v>https://www.bekamak.com/iletisim/</x:v>
      </x:c>
      <x:c r="M39" s="12" t="str">
        <x:v>https://www.bekamak.com/iletisim/</x:v>
      </x:c>
      <x:c r="N39" s="12" t="str">
        <x:v>https://www.maktekfuari.com/brand/beka-mak-makina-sanayi-ve-tic-a-s</x:v>
      </x:c>
      <x:c r="O39" s="11" t="str">
        <x:v>1</x:v>
      </x:c>
      <x:c r="P39" s="11" t="str">
        <x:v>105</x:v>
      </x:c>
      <x:c r="Q39" s="12"/>
      <x:c r="R39" s="12"/>
    </x:row>
    <x:row r="40">
      <x:c r="A40" s="3" t="str">
        <x:v>BERİL ENDÜSTRİYEL ÜRÜNLER MÜHENDİSLİK TİC. LTD. ŞTİ.</x:v>
      </x:c>
      <x:c r="B40" s="3" t="str">
        <x:v>https://www.berilmuh.com.tr</x:v>
      </x:c>
      <x:c r="C40" s="3" t="str">
        <x:v>info@berilmuh.com.tr</x:v>
      </x:c>
      <x:c r="D40" s="3" t="str">
        <x:v>‎0850 377 04 03</x:v>
      </x:c>
      <x:c r="E40" s="3" t="str">
        <x:v>TAM</x:v>
      </x:c>
      <x:c r="F40" s="3" t="str">
        <x:v>SİSTEM</x:v>
      </x:c>
      <x:c r="G40" s="3" t="str">
        <x:v>high</x:v>
      </x:c>
      <x:c r="H40" s="3" t="str">
        <x:v>100</x:v>
      </x:c>
      <x:c r="I40" s="3" t="str">
        <x:v>ESLESTI</x:v>
      </x:c>
      <x:c r="J40" s="3" t="str">
        <x:v>‎+90 222 230 04 03</x:v>
      </x:c>
      <x:c r="K40" s="8"/>
      <x:c r="L40" s="8" t="str">
        <x:v>https://www.berilmuh.com.tr</x:v>
      </x:c>
      <x:c r="M40" s="8" t="str">
        <x:v>https://www.berilmuh.com.tr</x:v>
      </x:c>
      <x:c r="N40" s="8" t="str">
        <x:v>https://www.maktekfuari.com/brand/beril-endustriyel-urunler-muhendislik-tic-ltd-sti</x:v>
      </x:c>
      <x:c r="O40" s="3" t="str">
        <x:v>11</x:v>
      </x:c>
      <x:c r="P40" s="3" t="str">
        <x:v>1105</x:v>
      </x:c>
      <x:c r="Q40" s="8"/>
      <x:c r="R40" s="8" t="str">
        <x:v>GREENLEAF CORPORATION</x:v>
      </x:c>
    </x:row>
    <x:row r="41">
      <x:c r="A41" s="11" t="str">
        <x:v>BERT OKE SERT MADEN SAN. VE TİC. LTD.ŞTİ.</x:v>
      </x:c>
      <x:c r="B41" s="11" t="str">
        <x:v>https://www.oketurkiye.com</x:v>
      </x:c>
      <x:c r="C41" s="11" t="str">
        <x:v>info@oketurkiye.com</x:v>
      </x:c>
      <x:c r="D41" s="11" t="str">
        <x:v>‎0212 576 04 76</x:v>
      </x:c>
      <x:c r="E41" s="11" t="str">
        <x:v>TAM</x:v>
      </x:c>
      <x:c r="F41" s="11" t="str">
        <x:v>MANUEL WEB DOĞRULAMA</x:v>
      </x:c>
      <x:c r="G41" s="11" t="str">
        <x:v>manual</x:v>
      </x:c>
      <x:c r="H41" s="11"/>
      <x:c r="I41" s="11" t="str">
        <x:v>FARKLI_RESMI_SITE_ONCELIKLI</x:v>
      </x:c>
      <x:c r="J41" s="11" t="str">
        <x:v>‎+90 539 440 35 15</x:v>
      </x:c>
      <x:c r="K41" s="12" t="str">
        <x:v>Fuar domaini ile resmî site aynı; site Bert/Oke/Sert Maden ilişkisini ve bertokesertmaden.com e-postasını yayımlıyor. Aynı-domain e-posta ve güncel resmî telefon seçildi. Kimlik kanıtı: https://www.oketurkiye.com/hakkimizda/</x:v>
      </x:c>
      <x:c r="L41" s="12" t="str">
        <x:v>https://www.oketurkiye.com/iletisim/</x:v>
      </x:c>
      <x:c r="M41" s="12" t="str">
        <x:v>https://www.oketurkiye.com/iletisim/</x:v>
      </x:c>
      <x:c r="N41" s="12" t="str">
        <x:v>https://www.maktekfuari.com/brand/bert-oke-sert-maden-san-ve-tic-ltdsti</x:v>
      </x:c>
      <x:c r="O41" s="11" t="str">
        <x:v>11</x:v>
      </x:c>
      <x:c r="P41" s="11" t="str">
        <x:v>1130</x:v>
      </x:c>
      <x:c r="Q41" s="12" t="str">
        <x:v>OKE</x:v>
      </x:c>
      <x:c r="R41" s="12"/>
    </x:row>
    <x:row r="42">
      <x:c r="A42" s="3" t="str">
        <x:v>BEST CNC TAKIM TEZGAHLARI SAN.TİC.LTD.ŞTİ.</x:v>
      </x:c>
      <x:c r="B42" s="3" t="str">
        <x:v>https://www.bestcnc.com.tr</x:v>
      </x:c>
      <x:c r="C42" s="3" t="str">
        <x:v>ersingulal@bestcnc.com.tr</x:v>
      </x:c>
      <x:c r="D42" s="3" t="str">
        <x:v>‎0533 687 98 93</x:v>
      </x:c>
      <x:c r="E42" s="3" t="str">
        <x:v>TAM</x:v>
      </x:c>
      <x:c r="F42" s="3" t="str">
        <x:v>SİSTEM</x:v>
      </x:c>
      <x:c r="G42" s="3" t="str">
        <x:v>high</x:v>
      </x:c>
      <x:c r="H42" s="3" t="str">
        <x:v>100</x:v>
      </x:c>
      <x:c r="I42" s="3" t="str">
        <x:v>FARKLI_RESMI_SITE_ONCELIKLI</x:v>
      </x:c>
      <x:c r="J42" s="3" t="str">
        <x:v>‎+90 531 278 43 83</x:v>
      </x:c>
      <x:c r="K42" s="8"/>
      <x:c r="L42" s="8" t="str">
        <x:v>https://www.bestcnc.com.tr</x:v>
      </x:c>
      <x:c r="M42" s="8" t="str">
        <x:v>https://www.bestcnc.com.tr</x:v>
      </x:c>
      <x:c r="N42" s="8" t="str">
        <x:v>https://www.maktekfuari.com/brand/best-cnc-takim-tezgahlari-santicltdsti</x:v>
      </x:c>
      <x:c r="O42" s="3" t="str">
        <x:v>9</x:v>
      </x:c>
      <x:c r="P42" s="3" t="str">
        <x:v>906</x:v>
      </x:c>
      <x:c r="Q42" s="8"/>
      <x:c r="R42" s="8" t="str">
        <x:v>A-RYUNG; YOUNGCHANG; SAMCHULLY; EXACT</x:v>
      </x:c>
    </x:row>
    <x:row r="43">
      <x:c r="A43" s="3" t="str">
        <x:v>BIEL MAKİNE SANAYİ VE TİCARET A.Ş.</x:v>
      </x:c>
      <x:c r="B43" s="3" t="str">
        <x:v>https://bielmakine.com</x:v>
      </x:c>
      <x:c r="C43" s="3" t="str">
        <x:v>info@bielmakine.com</x:v>
      </x:c>
      <x:c r="D43" s="3" t="str">
        <x:v>‎0532 449 82 25</x:v>
      </x:c>
      <x:c r="E43" s="3" t="str">
        <x:v>TAM</x:v>
      </x:c>
      <x:c r="F43" s="3" t="str">
        <x:v>SİSTEM</x:v>
      </x:c>
      <x:c r="G43" s="3" t="str">
        <x:v>high</x:v>
      </x:c>
      <x:c r="H43" s="3" t="str">
        <x:v>100</x:v>
      </x:c>
      <x:c r="I43" s="3" t="str">
        <x:v>ESLESTI</x:v>
      </x:c>
      <x:c r="J43" s="3" t="str">
        <x:v>‎+90 532 449 82 25</x:v>
      </x:c>
      <x:c r="K43" s="8"/>
      <x:c r="L43" s="8" t="str">
        <x:v>https://bielmakine.com</x:v>
      </x:c>
      <x:c r="M43" s="8" t="str">
        <x:v>https://bielmakine.com</x:v>
      </x:c>
      <x:c r="N43" s="8" t="str">
        <x:v>https://www.maktekfuari.com/brand/biel-makine-sanayi-ve-ticaret-as</x:v>
      </x:c>
      <x:c r="O43" s="3" t="str">
        <x:v>11A</x:v>
      </x:c>
      <x:c r="P43" s="3" t="str">
        <x:v>35</x:v>
      </x:c>
      <x:c r="Q43" s="8" t="str">
        <x:v>BIEL MAKİNE A.Ş</x:v>
      </x:c>
      <x:c r="R43" s="8" t="str">
        <x:v>DNE LASER</x:v>
      </x:c>
    </x:row>
    <x:row r="44">
      <x:c r="A44" s="11" t="str">
        <x:v>BİEM LASER MAKİNA VE OTOMASYON SAN. TİC. LTD. ŞTİ.</x:v>
      </x:c>
      <x:c r="B44" s="11" t="str">
        <x:v>https://www.biemlaser.com.tr</x:v>
      </x:c>
      <x:c r="C44" s="11" t="str">
        <x:v>info@biemlaser.com.tr</x:v>
      </x:c>
      <x:c r="D44" s="11" t="str">
        <x:v>‎+90 506 759 40 11</x:v>
      </x:c>
      <x:c r="E44" s="11" t="str">
        <x:v>TAM</x:v>
      </x:c>
      <x:c r="F44" s="11" t="str">
        <x:v>MANUEL WEB DOĞRULAMA</x:v>
      </x:c>
      <x:c r="G44" s="11" t="str">
        <x:v>manual</x:v>
      </x:c>
      <x:c r="H44" s="11"/>
      <x:c r="I44" s="11" t="str">
        <x:v>FUAR_REFERANSI_YOK</x:v>
      </x:c>
      <x:c r="J44" s="11"/>
      <x:c r="K44" s="12" t="str">
        <x:v>Resmî site üzerindeki ayırt edici marka/ticari unvan, Türkiye adresi veya fuar telefon eşleşmesiyle kimlik doğrulandı. İletişim yalnız doğrulanan resmî siteden alındı. Kimlik kanıtı: https://www.biemlaser.com.tr/</x:v>
      </x:c>
      <x:c r="L44" s="12" t="str">
        <x:v>https://www.biemlaser.com.tr/iletisim</x:v>
      </x:c>
      <x:c r="M44" s="12" t="str">
        <x:v>https://www.biemlaser.com.tr/iletisim</x:v>
      </x:c>
      <x:c r="N44" s="12" t="str">
        <x:v>https://www.maktekfuari.com/brand/biem-laser-makina-ve-otomasyon-san-tic-ltd-sti</x:v>
      </x:c>
      <x:c r="O44" s="11" t="str">
        <x:v>12A</x:v>
      </x:c>
      <x:c r="P44" s="11" t="str">
        <x:v>17</x:v>
      </x:c>
      <x:c r="Q44" s="12"/>
      <x:c r="R44" s="12"/>
    </x:row>
    <x:row r="45">
      <x:c r="A45" s="3" t="str">
        <x:v>BİLGİNOĞLU ENDÜSTRİ MALZ. SAN. TİC. A.Ş.</x:v>
      </x:c>
      <x:c r="B45" s="3" t="str">
        <x:v>https://www.bilginoglu-endustri.com.tr</x:v>
      </x:c>
      <x:c r="C45" s="3" t="str">
        <x:v>info@bilginoglu.com</x:v>
      </x:c>
      <x:c r="D45" s="3" t="str">
        <x:v>‎0224 443 43 80</x:v>
      </x:c>
      <x:c r="E45" s="3" t="str">
        <x:v>TAM</x:v>
      </x:c>
      <x:c r="F45" s="3" t="str">
        <x:v>SİSTEM</x:v>
      </x:c>
      <x:c r="G45" s="3" t="str">
        <x:v>medium</x:v>
      </x:c>
      <x:c r="H45" s="3" t="str">
        <x:v>87</x:v>
      </x:c>
      <x:c r="I45" s="3" t="str">
        <x:v>ESLESTI</x:v>
      </x:c>
      <x:c r="J45" s="3" t="str">
        <x:v>‎+90 232 433 72 30</x:v>
      </x:c>
      <x:c r="K45" s="8"/>
      <x:c r="L45" s="8" t="str">
        <x:v>https://www.bilginoglu-endustri.com.tr/address-and-phones</x:v>
      </x:c>
      <x:c r="M45" s="8" t="str">
        <x:v>https://www.bilginoglu-endustri.com.tr/address-and-phones</x:v>
      </x:c>
      <x:c r="N45" s="8" t="str">
        <x:v>https://www.maktekfuari.com/brand/bilginoglu-endustri-malz-san-tic-as</x:v>
      </x:c>
      <x:c r="O45" s="3" t="str">
        <x:v>11</x:v>
      </x:c>
      <x:c r="P45" s="3" t="str">
        <x:v>1147 - 1146</x:v>
      </x:c>
      <x:c r="Q45" s="8"/>
      <x:c r="R45" s="8" t="str">
        <x:v>MITUTOYO; VICI VISION</x:v>
      </x:c>
    </x:row>
    <x:row r="46">
      <x:c r="A46" s="3" t="str">
        <x:v>BİLOL METAL İŞLEME MERKEZİ SAN. VE TİC. LTD.ŞTİ.</x:v>
      </x:c>
      <x:c r="B46" s="3" t="str">
        <x:v>https://www.bilolmetal.com</x:v>
      </x:c>
      <x:c r="C46" s="3" t="str">
        <x:v>metal@bilol.com.tr</x:v>
      </x:c>
      <x:c r="D46" s="3" t="str">
        <x:v>‎0212 573 05 66</x:v>
      </x:c>
      <x:c r="E46" s="3" t="str">
        <x:v>TAM</x:v>
      </x:c>
      <x:c r="F46" s="3" t="str">
        <x:v>SİSTEM</x:v>
      </x:c>
      <x:c r="G46" s="3" t="str">
        <x:v>high</x:v>
      </x:c>
      <x:c r="H46" s="3" t="str">
        <x:v>100</x:v>
      </x:c>
      <x:c r="I46" s="3" t="str">
        <x:v>FUAR_REFERANSI_YOK</x:v>
      </x:c>
      <x:c r="J46" s="3"/>
      <x:c r="K46" s="8"/>
      <x:c r="L46" s="8" t="str">
        <x:v>https://www.bilolmetal.com</x:v>
      </x:c>
      <x:c r="M46" s="8" t="str">
        <x:v>https://www.bilolmetal.com</x:v>
      </x:c>
      <x:c r="N46" s="8" t="str">
        <x:v>https://www.maktekfuari.com/brand/bilol-metal-isleme-merkezi-san-ve-tic-ltdsti</x:v>
      </x:c>
      <x:c r="O46" s="3" t="str">
        <x:v>2</x:v>
      </x:c>
      <x:c r="P46" s="3" t="str">
        <x:v>217</x:v>
      </x:c>
      <x:c r="Q46" s="8"/>
      <x:c r="R46" s="8"/>
    </x:row>
    <x:row r="47">
      <x:c r="A47" s="3" t="str">
        <x:v>BİMAKSAN CNC TAKIM TEZGAHLARI .SAN VE TİC. LTD. ŞTİ.</x:v>
      </x:c>
      <x:c r="B47" s="3" t="str">
        <x:v>https://www.bimaksan.com.tr</x:v>
      </x:c>
      <x:c r="C47" s="3" t="str">
        <x:v>bimaksan@bimaksan.com.tr</x:v>
      </x:c>
      <x:c r="D47" s="3" t="str">
        <x:v>‎0212 544 46 44</x:v>
      </x:c>
      <x:c r="E47" s="3" t="str">
        <x:v>TAM</x:v>
      </x:c>
      <x:c r="F47" s="3" t="str">
        <x:v>SİSTEM</x:v>
      </x:c>
      <x:c r="G47" s="3" t="str">
        <x:v>high</x:v>
      </x:c>
      <x:c r="H47" s="3" t="str">
        <x:v>100</x:v>
      </x:c>
      <x:c r="I47" s="3" t="str">
        <x:v>ESLESTI</x:v>
      </x:c>
      <x:c r="J47" s="3" t="str">
        <x:v>‎+90 212 544 46 44</x:v>
      </x:c>
      <x:c r="K47" s="8"/>
      <x:c r="L47" s="8" t="str">
        <x:v>https://www.bimaksan.com.tr</x:v>
      </x:c>
      <x:c r="M47" s="8" t="str">
        <x:v>https://www.bimaksan.com.tr</x:v>
      </x:c>
      <x:c r="N47" s="8" t="str">
        <x:v>https://www.maktekfuari.com/brand/bimaksan-cnc-takim-tezgahlari-san-ve-tic-ltd-sti</x:v>
      </x:c>
      <x:c r="O47" s="3" t="str">
        <x:v>8</x:v>
      </x:c>
      <x:c r="P47" s="3" t="str">
        <x:v>804</x:v>
      </x:c>
      <x:c r="Q47" s="8"/>
      <x:c r="R47" s="8"/>
    </x:row>
    <x:row r="48">
      <x:c r="A48" s="3" t="str">
        <x:v>BMT MAKİNA EKİPMANLARI DANIŞMANLIK LTD ŞTİ.</x:v>
      </x:c>
      <x:c r="B48" s="3" t="str">
        <x:v>https://www.bmtmakina.com.tr</x:v>
      </x:c>
      <x:c r="C48" s="3" t="str">
        <x:v>info@bmtmakina.com.tr</x:v>
      </x:c>
      <x:c r="D48" s="3" t="str">
        <x:v>‎0216 441 18 62</x:v>
      </x:c>
      <x:c r="E48" s="3" t="str">
        <x:v>TAM</x:v>
      </x:c>
      <x:c r="F48" s="3" t="str">
        <x:v>SİSTEM</x:v>
      </x:c>
      <x:c r="G48" s="3" t="str">
        <x:v>medium</x:v>
      </x:c>
      <x:c r="H48" s="3" t="str">
        <x:v>79</x:v>
      </x:c>
      <x:c r="I48" s="3" t="str">
        <x:v>ESLESTI</x:v>
      </x:c>
      <x:c r="J48" s="3" t="str">
        <x:v>‎+90 216 441 18 62</x:v>
      </x:c>
      <x:c r="K48" s="8"/>
      <x:c r="L48" s="8" t="str">
        <x:v>https://www.bmtmakina.com.tr</x:v>
      </x:c>
      <x:c r="M48" s="8" t="str">
        <x:v>https://www.bmtmakina.com.tr</x:v>
      </x:c>
      <x:c r="N48" s="8" t="str">
        <x:v>https://www.maktekfuari.com/brand/bmt-makina-ekipmanlari-danismanlik-ltd-sti</x:v>
      </x:c>
      <x:c r="O48" s="3" t="str">
        <x:v>11</x:v>
      </x:c>
      <x:c r="P48" s="3" t="str">
        <x:v>1109</x:v>
      </x:c>
      <x:c r="Q48" s="8"/>
      <x:c r="R48" s="8"/>
    </x:row>
    <x:row r="49">
      <x:c r="A49" s="3" t="str">
        <x:v>BOEHLERİT SERT METAL VE TAKIM SAN. VE TİC. A.Ş.</x:v>
      </x:c>
      <x:c r="B49" s="3" t="str">
        <x:v>https://www.boehlerit.com.tr</x:v>
      </x:c>
      <x:c r="C49" s="3" t="str">
        <x:v>info@boehlerit.com.tr</x:v>
      </x:c>
      <x:c r="D49" s="3" t="str">
        <x:v>‎0262 677 17 37</x:v>
      </x:c>
      <x:c r="E49" s="3" t="str">
        <x:v>TAM</x:v>
      </x:c>
      <x:c r="F49" s="3" t="str">
        <x:v>SİSTEM</x:v>
      </x:c>
      <x:c r="G49" s="3" t="str">
        <x:v>high</x:v>
      </x:c>
      <x:c r="H49" s="3" t="str">
        <x:v>100</x:v>
      </x:c>
      <x:c r="I49" s="3" t="str">
        <x:v>ESLESTI</x:v>
      </x:c>
      <x:c r="J49" s="3" t="str">
        <x:v>‎+90 262 677 17 37</x:v>
      </x:c>
      <x:c r="K49" s="8"/>
      <x:c r="L49" s="8" t="str">
        <x:v>https://www.boehlerit.com.tr</x:v>
      </x:c>
      <x:c r="M49" s="8" t="str">
        <x:v>https://www.boehlerit.com.tr</x:v>
      </x:c>
      <x:c r="N49" s="8" t="str">
        <x:v>https://www.maktekfuari.com/brand/boehlerit-sert-metal-ve-takim-san-ve-tic-as</x:v>
      </x:c>
      <x:c r="O49" s="3" t="str">
        <x:v>11</x:v>
      </x:c>
      <x:c r="P49" s="3" t="str">
        <x:v>1118</x:v>
      </x:c>
      <x:c r="Q49" s="8"/>
      <x:c r="R49" s="8"/>
    </x:row>
    <x:row r="50">
      <x:c r="A50" s="11" t="str">
        <x:v>BOĞAZİÇİ ENDÜSTRİYEL YAĞ. KİM. MAD. SAN. VE TİC. A.Ş.</x:v>
      </x:c>
      <x:c r="B50" s="11" t="str">
        <x:v>https://www.bogaziciendustriyel.com.tr</x:v>
      </x:c>
      <x:c r="C50" s="11" t="str">
        <x:v>info@bogaziciendustriyel.com.tr</x:v>
      </x:c>
      <x:c r="D50" s="11" t="str">
        <x:v>‎+90 212 485 39 33</x:v>
      </x:c>
      <x:c r="E50" s="11" t="str">
        <x:v>TAM</x:v>
      </x:c>
      <x:c r="F50" s="11" t="str">
        <x:v>MANUEL WEB DOĞRULAMA</x:v>
      </x:c>
      <x:c r="G50" s="11" t="str">
        <x:v>manual</x:v>
      </x:c>
      <x:c r="H50" s="11"/>
      <x:c r="I50" s="11" t="str">
        <x:v>FARKLI_RESMI_SITE_ONCELIKLI</x:v>
      </x:c>
      <x:c r="J50" s="11" t="str">
        <x:v>‎+90 549 651 76 01</x:v>
      </x:c>
      <x:c r="K50" s="12" t="str">
        <x:v>Resmî site üzerindeki ayırt edici marka/ticari unvan, Türkiye adresi veya fuar telefon eşleşmesiyle kimlik doğrulandı. İletişim yalnız doğrulanan resmî siteden alındı. Kimlik kanıtı: https://www.bogaziciendustriyel.com.tr/iletisim</x:v>
      </x:c>
      <x:c r="L50" s="12" t="str">
        <x:v>https://www.bogaziciendustriyel.com.tr/</x:v>
      </x:c>
      <x:c r="M50" s="12" t="str">
        <x:v>https://www.bogaziciendustriyel.com.tr/</x:v>
      </x:c>
      <x:c r="N50" s="12" t="str">
        <x:v>https://www.maktekfuari.com/brand/bogazici-endustriyel-yag-kim-mad-san-ve-tic-as</x:v>
      </x:c>
      <x:c r="O50" s="11" t="str">
        <x:v>12A</x:v>
      </x:c>
      <x:c r="P50" s="11" t="str">
        <x:v>27</x:v>
      </x:c>
      <x:c r="Q50" s="12" t="str">
        <x:v>Veze</x:v>
      </x:c>
      <x:c r="R50" s="12" t="str">
        <x:v>Veze</x:v>
      </x:c>
    </x:row>
    <x:row r="51">
      <x:c r="A51" s="3" t="str">
        <x:v>BOĞAZİÇİ YAZILIM ANONİM ŞİRKETİ</x:v>
      </x:c>
      <x:c r="B51" s="3" t="str">
        <x:v>https://www.bogaziciyazilim.com</x:v>
      </x:c>
      <x:c r="C51" s="3" t="str">
        <x:v>bogazici@bogaziciyazilim.com</x:v>
      </x:c>
      <x:c r="D51" s="3" t="str">
        <x:v>‎0216 575 66 50</x:v>
      </x:c>
      <x:c r="E51" s="3" t="str">
        <x:v>TAM</x:v>
      </x:c>
      <x:c r="F51" s="3" t="str">
        <x:v>SİSTEM</x:v>
      </x:c>
      <x:c r="G51" s="3" t="str">
        <x:v>high</x:v>
      </x:c>
      <x:c r="H51" s="3" t="str">
        <x:v>100</x:v>
      </x:c>
      <x:c r="I51" s="3" t="str">
        <x:v>ESLESTI</x:v>
      </x:c>
      <x:c r="J51" s="3" t="str">
        <x:v>‎+90 216 575 66 50</x:v>
      </x:c>
      <x:c r="K51" s="8"/>
      <x:c r="L51" s="8" t="str">
        <x:v>https://www.bogaziciyazilim.com/hakkimizda/</x:v>
      </x:c>
      <x:c r="M51" s="8" t="str">
        <x:v>https://www.bogaziciyazilim.com/hakkimizda/</x:v>
      </x:c>
      <x:c r="N51" s="8" t="str">
        <x:v>https://www.maktekfuari.com/brand/bogazici-yazilim-anonim-sirketi</x:v>
      </x:c>
      <x:c r="O51" s="3" t="str">
        <x:v>12</x:v>
      </x:c>
      <x:c r="P51" s="3" t="str">
        <x:v>1202</x:v>
      </x:c>
      <x:c r="Q51" s="8"/>
      <x:c r="R51" s="8" t="str">
        <x:v>Siemens Digital Industries Software</x:v>
      </x:c>
    </x:row>
    <x:row r="52">
      <x:c r="A52" s="11" t="str">
        <x:v>BURLA MAK. TİC. VE YATIRIM A.Ş.</x:v>
      </x:c>
      <x:c r="B52" s="11" t="str">
        <x:v>https://burla.com</x:v>
      </x:c>
      <x:c r="C52" s="11" t="str">
        <x:v>info@burla.com</x:v>
      </x:c>
      <x:c r="D52" s="11" t="str">
        <x:v>‎0212 256 49 50</x:v>
      </x:c>
      <x:c r="E52" s="11" t="str">
        <x:v>TAM</x:v>
      </x:c>
      <x:c r="F52" s="11" t="str">
        <x:v>MANUEL WEB DOĞRULAMA</x:v>
      </x:c>
      <x:c r="G52" s="11" t="str">
        <x:v>manual</x:v>
      </x:c>
      <x:c r="H52" s="11"/>
      <x:c r="I52" s="11" t="str">
        <x:v>FUAR_REFERANSI_YOK</x:v>
      </x:c>
      <x:c r="J52" s="11"/>
      <x:c r="K52" s="12" t="str">
        <x:v>Resmî Burla/KVKK sayfalarında Burla Makina Ticareti ve Yatırım A.Ş. tam unvanı, e-posta ve telefon doğrulandı. Kimlik kanıtı: https://burla.com/kvkk-aydinlatma-metni</x:v>
      </x:c>
      <x:c r="L52" s="12" t="str">
        <x:v>https://burla.com/iletisim</x:v>
      </x:c>
      <x:c r="M52" s="12" t="str">
        <x:v>https://burla.com/iletisim</x:v>
      </x:c>
      <x:c r="N52" s="12" t="str">
        <x:v>https://www.maktekfuari.com/brand/burla-mak-tic-ve-yatirim-as</x:v>
      </x:c>
      <x:c r="O52" s="11" t="str">
        <x:v>4</x:v>
      </x:c>
      <x:c r="P52" s="11" t="str">
        <x:v>404</x:v>
      </x:c>
      <x:c r="Q52" s="12"/>
      <x:c r="R52" s="12"/>
    </x:row>
    <x:row r="53">
      <x:c r="A53" s="11" t="str">
        <x:v>BURMAK ENDÜSTRİYEL PAZ. TİC. A.Ş.</x:v>
      </x:c>
      <x:c r="B53" s="11" t="str">
        <x:v>https://bur-mak.com/</x:v>
      </x:c>
      <x:c r="C53" s="11" t="str">
        <x:v>info@bur-mak.com</x:v>
      </x:c>
      <x:c r="D53" s="11" t="str">
        <x:v>‎+90 224 544 86 67</x:v>
      </x:c>
      <x:c r="E53" s="11" t="str">
        <x:v>TAM</x:v>
      </x:c>
      <x:c r="F53" s="11" t="str">
        <x:v>MANUEL WEB DOĞRULAMA</x:v>
      </x:c>
      <x:c r="G53" s="11" t="str">
        <x:v>manual</x:v>
      </x:c>
      <x:c r="H53" s="11"/>
      <x:c r="I53" s="11" t="str">
        <x:v>MANUEL_ESLESTI</x:v>
      </x:c>
      <x:c r="J53" s="11" t="str">
        <x:v>‎+90 224 544 86 67</x:v>
      </x:c>
      <x:c r="K53" s="12" t="str">
        <x:v>Resmî site üzerindeki ayırt edici marka/ticari unvan, Türkiye adresi veya fuar telefon eşleşmesiyle kimlik doğrulandı. İletişim yalnız doğrulanan resmî siteden alındı. Kimlik kanıtı: https://bur-mak.com/</x:v>
      </x:c>
      <x:c r="L53" s="12" t="str">
        <x:v>https://bur-mak.com/</x:v>
      </x:c>
      <x:c r="M53" s="12" t="str">
        <x:v>https://bur-mak.com/</x:v>
      </x:c>
      <x:c r="N53" s="12" t="str">
        <x:v>https://www.maktekfuari.com/brand/burmak-endustriyel-paz-tic-as</x:v>
      </x:c>
      <x:c r="O53" s="11" t="str">
        <x:v>12A</x:v>
      </x:c>
      <x:c r="P53" s="11" t="str">
        <x:v>13B</x:v>
      </x:c>
      <x:c r="Q53" s="12"/>
      <x:c r="R53" s="12" t="str">
        <x:v>Assfalg GmbH</x:v>
      </x:c>
    </x:row>
    <x:row r="54">
      <x:c r="A54" s="3" t="str">
        <x:v>BURPRES METAL SANAYİ A.Ş.</x:v>
      </x:c>
      <x:c r="B54" s="3" t="str">
        <x:v>https://burpres.com</x:v>
      </x:c>
      <x:c r="C54" s="3" t="str">
        <x:v>satis@burpres.com</x:v>
      </x:c>
      <x:c r="D54" s="3" t="str">
        <x:v>‎0542 277 66 29</x:v>
      </x:c>
      <x:c r="E54" s="3" t="str">
        <x:v>TAM</x:v>
      </x:c>
      <x:c r="F54" s="3" t="str">
        <x:v>SİSTEM</x:v>
      </x:c>
      <x:c r="G54" s="3" t="str">
        <x:v>medium</x:v>
      </x:c>
      <x:c r="H54" s="3" t="str">
        <x:v>85</x:v>
      </x:c>
      <x:c r="I54" s="3" t="str">
        <x:v>ESLESTI</x:v>
      </x:c>
      <x:c r="J54" s="3" t="str">
        <x:v>‎+90 542 277 66 29</x:v>
      </x:c>
      <x:c r="K54" s="8"/>
      <x:c r="L54" s="8" t="str">
        <x:v>https://burpres.com/iletisim/</x:v>
      </x:c>
      <x:c r="M54" s="8" t="str">
        <x:v>https://burpres.com/iletisim/</x:v>
      </x:c>
      <x:c r="N54" s="8" t="str">
        <x:v>https://www.maktekfuari.com/brand/burpres-metal-sanayi-as</x:v>
      </x:c>
      <x:c r="O54" s="3" t="str">
        <x:v>12A</x:v>
      </x:c>
      <x:c r="P54" s="3" t="str">
        <x:v>57C</x:v>
      </x:c>
      <x:c r="Q54" s="8" t="str">
        <x:v>DESTAK</x:v>
      </x:c>
      <x:c r="R54" s="8"/>
    </x:row>
    <x:row r="55">
      <x:c r="A55" s="11" t="str">
        <x:v>CENTRE ÖZÇELİK MAKİNA SANAYİ VE TİCARET LİMİTED ŞİRKETİ</x:v>
      </x:c>
      <x:c r="B55" s="11" t="str">
        <x:v>https://www.ozcelikmak.com/</x:v>
      </x:c>
      <x:c r="C55" s="11" t="str">
        <x:v>info@ozcelikmak.com</x:v>
      </x:c>
      <x:c r="D55" s="11" t="str">
        <x:v>‎+90 532 714 36 28</x:v>
      </x:c>
      <x:c r="E55" s="11" t="str">
        <x:v>TAM</x:v>
      </x:c>
      <x:c r="F55" s="11" t="str">
        <x:v>MANUEL WEB DOĞRULAMA</x:v>
      </x:c>
      <x:c r="G55" s="11" t="str">
        <x:v>manual</x:v>
      </x:c>
      <x:c r="H55" s="11"/>
      <x:c r="I55" s="11" t="str">
        <x:v>FUAR_REFERANSI_YOK</x:v>
      </x:c>
      <x:c r="J55" s="11"/>
      <x:c r="K55" s="12" t="str">
        <x:v>Resmî site üzerindeki ayırt edici marka/ticari unvan, Türkiye adresi veya fuar telefon eşleşmesiyle kimlik doğrulandı. İletişim yalnız doğrulanan resmî siteden alındı. Kimlik kanıtı: https://www.ozcelikmak.com/</x:v>
      </x:c>
      <x:c r="L55" s="12" t="str">
        <x:v>https://www.ozcelikmak.com/</x:v>
      </x:c>
      <x:c r="M55" s="12" t="str">
        <x:v>https://www.ozcelikmak.com/</x:v>
      </x:c>
      <x:c r="N55" s="12" t="str">
        <x:v>https://www.maktekfuari.com/brand/centre-ozcelik-makina-sanayi-ve-ticaret-limited-sirketi</x:v>
      </x:c>
      <x:c r="O55" s="11" t="str">
        <x:v>12A</x:v>
      </x:c>
      <x:c r="P55" s="11" t="str">
        <x:v>13A</x:v>
      </x:c>
      <x:c r="Q55" s="12"/>
      <x:c r="R55" s="12"/>
    </x:row>
    <x:row r="56">
      <x:c r="A56" s="11" t="str">
        <x:v>CERATIZIT TURKEY KESİCİ TAKIMLAR VE KARBÜR ÇÖZÜMLERİ TİC. LTD. ŞTİ.</x:v>
      </x:c>
      <x:c r="B56" s="11" t="str">
        <x:v>https://ceratizit.com/int/en/about-us/locations.html</x:v>
      </x:c>
      <x:c r="C56" s="11" t="str">
        <x:v>info.turkey@ceratizit.com</x:v>
      </x:c>
      <x:c r="D56" s="11" t="str">
        <x:v>‎+90 216 353 66 43</x:v>
      </x:c>
      <x:c r="E56" s="11" t="str">
        <x:v>TAM</x:v>
      </x:c>
      <x:c r="F56" s="11" t="str">
        <x:v>MANUEL WEB DOĞRULAMA</x:v>
      </x:c>
      <x:c r="G56" s="11" t="str">
        <x:v>manual</x:v>
      </x:c>
      <x:c r="H56" s="11"/>
      <x:c r="I56" s="11" t="str">
        <x:v>FUAR_REFERANSI_YOK</x:v>
      </x:c>
      <x:c r="J56" s="11"/>
      <x:c r="K56" s="12" t="str">
        <x:v>Resmî site üzerindeki ayırt edici marka/ticari unvan, Türkiye adresi veya fuar telefon eşleşmesiyle kimlik doğrulandı. İletişim yalnız doğrulanan resmî siteden alındı. Kimlik kanıtı: https://ceratizit.com/int/en/about-us/locations.html</x:v>
      </x:c>
      <x:c r="L56" s="12" t="str">
        <x:v>https://ceratizit.com/int/en/about-us/locations.html</x:v>
      </x:c>
      <x:c r="M56" s="12" t="str">
        <x:v>https://ceratizit.com/int/en/about-us/locations.html</x:v>
      </x:c>
      <x:c r="N56" s="12" t="str">
        <x:v>https://www.maktekfuari.com/brand/ceratizit-turkey-kesici-takimlar-ve-karbur-cozumleri-tic-ltd-sti</x:v>
      </x:c>
      <x:c r="O56" s="11" t="str">
        <x:v>11</x:v>
      </x:c>
      <x:c r="P56" s="11" t="str">
        <x:v>1149</x:v>
      </x:c>
      <x:c r="Q56" s="12"/>
      <x:c r="R56" s="12"/>
    </x:row>
    <x:row r="57">
      <x:c r="A57" s="3" t="str">
        <x:v>CESURBEND MAKİNA YED. PAR. İTH. İHR. SAN. TİC. LTD. ŞTİ.</x:v>
      </x:c>
      <x:c r="B57" s="3" t="str">
        <x:v>https://www.cesurbend.com</x:v>
      </x:c>
      <x:c r="C57" s="3" t="str">
        <x:v>sales@cesurbend.com</x:v>
      </x:c>
      <x:c r="D57" s="3" t="str">
        <x:v>‎0224 243 47 00</x:v>
      </x:c>
      <x:c r="E57" s="3" t="str">
        <x:v>TAM</x:v>
      </x:c>
      <x:c r="F57" s="3" t="str">
        <x:v>SİSTEM</x:v>
      </x:c>
      <x:c r="G57" s="3" t="str">
        <x:v>medium</x:v>
      </x:c>
      <x:c r="H57" s="3" t="str">
        <x:v>81</x:v>
      </x:c>
      <x:c r="I57" s="3" t="str">
        <x:v>ESLESTI</x:v>
      </x:c>
      <x:c r="J57" s="3" t="str">
        <x:v>‎+90 545 345 86 52</x:v>
      </x:c>
      <x:c r="K57" s="8"/>
      <x:c r="L57" s="8" t="str">
        <x:v>https://www.cesurbend.com</x:v>
      </x:c>
      <x:c r="M57" s="8" t="str">
        <x:v>https://www.cesurbend.com</x:v>
      </x:c>
      <x:c r="N57" s="8" t="str">
        <x:v>https://www.maktekfuari.com/brand/cesurbend-makina-yed-par-ith-ihr-san-tic-ltd-sti</x:v>
      </x:c>
      <x:c r="O57" s="3" t="str">
        <x:v>1</x:v>
      </x:c>
      <x:c r="P57" s="3" t="str">
        <x:v>113/110</x:v>
      </x:c>
      <x:c r="Q57" s="8" t="str">
        <x:v>CESURBEND; BRAVEBEND</x:v>
      </x:c>
      <x:c r="R57" s="8"/>
    </x:row>
    <x:row r="58">
      <x:c r="A58" s="3" t="str">
        <x:v>CETEK SPRAY NOZZLE DIŞ TİC. LTD. ŞTİ</x:v>
      </x:c>
      <x:c r="B58" s="3" t="str">
        <x:v>https://www.ce-teknozzle.com</x:v>
      </x:c>
      <x:c r="C58" s="3" t="str">
        <x:v>info@ce-teknozzle.com</x:v>
      </x:c>
      <x:c r="D58" s="3" t="str">
        <x:v>‎0544 844 35 16</x:v>
      </x:c>
      <x:c r="E58" s="3" t="str">
        <x:v>TAM</x:v>
      </x:c>
      <x:c r="F58" s="3" t="str">
        <x:v>SİSTEM</x:v>
      </x:c>
      <x:c r="G58" s="3" t="str">
        <x:v>high</x:v>
      </x:c>
      <x:c r="H58" s="3" t="str">
        <x:v>100</x:v>
      </x:c>
      <x:c r="I58" s="3" t="str">
        <x:v>FUAR_REFERANSI_YOK</x:v>
      </x:c>
      <x:c r="J58" s="3"/>
      <x:c r="K58" s="8"/>
      <x:c r="L58" s="8" t="str">
        <x:v>https://www.ce-teknozzle.com/contact</x:v>
      </x:c>
      <x:c r="M58" s="8" t="str">
        <x:v>https://www.ce-teknozzle.com/contact</x:v>
      </x:c>
      <x:c r="N58" s="8" t="str">
        <x:v>https://www.maktekfuari.com/brand/cetek-spray-nozzle-dis-tic-ltd-sti</x:v>
      </x:c>
      <x:c r="O58" s="3" t="str">
        <x:v>12A</x:v>
      </x:c>
      <x:c r="P58" s="3" t="str">
        <x:v>28</x:v>
      </x:c>
      <x:c r="Q58" s="8"/>
      <x:c r="R58" s="8"/>
    </x:row>
    <x:row r="59">
      <x:c r="A59" s="11" t="str">
        <x:v>CHİRON İSTANBUL MAK. TİC.VE SERV.LTD.ŞTİ.</x:v>
      </x:c>
      <x:c r="B59" s="11" t="str">
        <x:v>https://chiron-group.com/</x:v>
      </x:c>
      <x:c r="C59" s="11" t="str">
        <x:v>info.turkey@chiron-group.com</x:v>
      </x:c>
      <x:c r="D59" s="11" t="str">
        <x:v>‎+90 212 612 12 11</x:v>
      </x:c>
      <x:c r="E59" s="11" t="str">
        <x:v>TAM</x:v>
      </x:c>
      <x:c r="F59" s="11" t="str">
        <x:v>MANUEL WEB DOĞRULAMA</x:v>
      </x:c>
      <x:c r="G59" s="11" t="str">
        <x:v>manual</x:v>
      </x:c>
      <x:c r="H59" s="11"/>
      <x:c r="I59" s="11" t="str">
        <x:v>MANUEL_ESLESTI</x:v>
      </x:c>
      <x:c r="J59" s="11" t="str">
        <x:v>‎+90 212 612 12 11</x:v>
      </x:c>
      <x:c r="K59" s="12" t="str">
        <x:v>Resmî site üzerindeki ayırt edici marka/ticari unvan, Türkiye adresi veya fuar telefon eşleşmesiyle kimlik doğrulandı. İletişim yalnız doğrulanan resmî siteden alındı. Kimlik kanıtı: https://micro5.chiron-group.com/en_US/partners/chiron-istanbul-mak-tic-ve-serv-ltd-sti-14700</x:v>
      </x:c>
      <x:c r="L59" s="12" t="str">
        <x:v>https://micro5.chiron-group.com/en_US/partners/chiron-istanbul-mak-tic-ve-serv-ltd-sti-14700</x:v>
      </x:c>
      <x:c r="M59" s="12" t="str">
        <x:v>https://micro5.chiron-group.com/en_US/partners/chiron-istanbul-mak-tic-ve-serv-ltd-sti-14700</x:v>
      </x:c>
      <x:c r="N59" s="12" t="str">
        <x:v>https://www.maktekfuari.com/brand/chiron-istanbul-mak-ticve-servltdsti</x:v>
      </x:c>
      <x:c r="O59" s="11" t="str">
        <x:v>10</x:v>
      </x:c>
      <x:c r="P59" s="11" t="str">
        <x:v>1014</x:v>
      </x:c>
      <x:c r="Q59" s="12"/>
      <x:c r="R59" s="12"/>
    </x:row>
    <x:row r="60">
      <x:c r="A60" s="3" t="str">
        <x:v>CLASS CNC MÜHENDİSLİK MAKİNA SAN.VE TİC.A.Ş.</x:v>
      </x:c>
      <x:c r="B60" s="3" t="str">
        <x:v>https://classcnc.com.tr</x:v>
      </x:c>
      <x:c r="C60" s="3" t="str">
        <x:v>cnc@classcnc.com</x:v>
      </x:c>
      <x:c r="D60" s="3" t="str">
        <x:v>‎0535 010 10 90</x:v>
      </x:c>
      <x:c r="E60" s="3" t="str">
        <x:v>TAM</x:v>
      </x:c>
      <x:c r="F60" s="3" t="str">
        <x:v>SİSTEM</x:v>
      </x:c>
      <x:c r="G60" s="3" t="str">
        <x:v>high</x:v>
      </x:c>
      <x:c r="H60" s="3" t="str">
        <x:v>100</x:v>
      </x:c>
      <x:c r="I60" s="3" t="str">
        <x:v>FARKLI_RESMI_SITE_ONCELIKLI</x:v>
      </x:c>
      <x:c r="J60" s="3" t="str">
        <x:v>‎+90 224 504 64 30</x:v>
      </x:c>
      <x:c r="K60" s="8"/>
      <x:c r="L60" s="8" t="str">
        <x:v>https://classcnc.com.tr</x:v>
      </x:c>
      <x:c r="M60" s="8" t="str">
        <x:v>https://classcnc.com.tr</x:v>
      </x:c>
      <x:c r="N60" s="8" t="str">
        <x:v>https://www.maktekfuari.com/brand/class-cnc-muhendislik-makina-sanve-ticas</x:v>
      </x:c>
      <x:c r="O60" s="3" t="str">
        <x:v>12</x:v>
      </x:c>
      <x:c r="P60" s="3" t="str">
        <x:v>1208A</x:v>
      </x:c>
      <x:c r="Q60" s="8" t="str">
        <x:v>CMZ; ZAYER; US WHEELER; TORNOS; BELOTTI; GURUTZPE</x:v>
      </x:c>
      <x:c r="R60" s="8" t="str">
        <x:v>Belotti; US WHEELER; GURUTZPE; STARVISION; TORNOS; CMZ; ZAYER</x:v>
      </x:c>
    </x:row>
    <x:row r="61">
      <x:c r="A61" s="3" t="str">
        <x:v>CMS MAKİNE VE DANIŞMANLIK SAN VE TİC LTD ŞTİ</x:v>
      </x:c>
      <x:c r="B61" s="3" t="str">
        <x:v>http://www.cms.biz.tr</x:v>
      </x:c>
      <x:c r="C61" s="3" t="str">
        <x:v>istanbul@cms.biz.tr</x:v>
      </x:c>
      <x:c r="D61" s="3" t="str">
        <x:v>‎0212 565 63 70</x:v>
      </x:c>
      <x:c r="E61" s="3" t="str">
        <x:v>TAM</x:v>
      </x:c>
      <x:c r="F61" s="3" t="str">
        <x:v>SİSTEM</x:v>
      </x:c>
      <x:c r="G61" s="3" t="str">
        <x:v>medium</x:v>
      </x:c>
      <x:c r="H61" s="3" t="str">
        <x:v>81</x:v>
      </x:c>
      <x:c r="I61" s="3" t="str">
        <x:v>ESLESTI</x:v>
      </x:c>
      <x:c r="J61" s="3" t="str">
        <x:v>‎+90 212 565 63 70</x:v>
      </x:c>
      <x:c r="K61" s="8"/>
      <x:c r="L61" s="8" t="str">
        <x:v>http://www.cms.biz.tr/iletisim.aspx</x:v>
      </x:c>
      <x:c r="M61" s="8" t="str">
        <x:v>http://www.cms.biz.tr/iletisim.aspx</x:v>
      </x:c>
      <x:c r="N61" s="8" t="str">
        <x:v>https://www.maktekfuari.com/brand/cms-makine-ve-danismanlik-san-ve-tic-ltd-sti</x:v>
      </x:c>
      <x:c r="O61" s="3" t="str">
        <x:v>7</x:v>
      </x:c>
      <x:c r="P61" s="3" t="str">
        <x:v>715</x:v>
      </x:c>
      <x:c r="Q61" s="8"/>
      <x:c r="R61" s="8" t="str">
        <x:v>LEADYANG PRECISION TECHNOLOGY CO.LTD; YOU JI MACHINE IND.CO.LTD; FOOKE GMBH; SMART MACHINE TOOL</x:v>
      </x:c>
    </x:row>
    <x:row r="62">
      <x:c r="A62" s="3" t="str">
        <x:v>CNC İLERİ TEKNOLOJİ VE TİC.A.Ş.</x:v>
      </x:c>
      <x:c r="B62" s="3" t="str">
        <x:v>https://cnc.com.tr</x:v>
      </x:c>
      <x:c r="C62" s="3" t="str">
        <x:v>info@cnc.com.tr</x:v>
      </x:c>
      <x:c r="D62" s="3" t="str">
        <x:v>‎0212 786 62 00</x:v>
      </x:c>
      <x:c r="E62" s="3" t="str">
        <x:v>TAM</x:v>
      </x:c>
      <x:c r="F62" s="3" t="str">
        <x:v>SİSTEM</x:v>
      </x:c>
      <x:c r="G62" s="3" t="str">
        <x:v>medium</x:v>
      </x:c>
      <x:c r="H62" s="3" t="str">
        <x:v>85</x:v>
      </x:c>
      <x:c r="I62" s="3" t="str">
        <x:v>ESLESTI</x:v>
      </x:c>
      <x:c r="J62" s="3" t="str">
        <x:v>‎+90 212 786 62 00</x:v>
      </x:c>
      <x:c r="K62" s="8"/>
      <x:c r="L62" s="8" t="str">
        <x:v>https://cnc.com.tr</x:v>
      </x:c>
      <x:c r="M62" s="8" t="str">
        <x:v>https://cnc.com.tr</x:v>
      </x:c>
      <x:c r="N62" s="8" t="str">
        <x:v>https://www.maktekfuari.com/brand/cnc-ileri-teknoloji-ve-ticas</x:v>
      </x:c>
      <x:c r="O62" s="3" t="str">
        <x:v>7</x:v>
      </x:c>
      <x:c r="P62" s="3" t="str">
        <x:v>707A</x:v>
      </x:c>
      <x:c r="Q62" s="8"/>
      <x:c r="R62" s="8" t="str">
        <x:v>MAKINO</x:v>
      </x:c>
    </x:row>
    <x:row r="63">
      <x:c r="A63" s="11" t="str">
        <x:v>CNC SİSTEM SAN. TİC. LTD. ŞTİ</x:v>
      </x:c>
      <x:c r="B63" s="11" t="str">
        <x:v>https://www.cncsistem.com</x:v>
      </x:c>
      <x:c r="C63" s="11" t="str">
        <x:v>hasan@cncsistem.com</x:v>
      </x:c>
      <x:c r="D63" s="11" t="str">
        <x:v>‎0532 669 02 62</x:v>
      </x:c>
      <x:c r="E63" s="11" t="str">
        <x:v>TAM</x:v>
      </x:c>
      <x:c r="F63" s="11" t="str">
        <x:v>MANUEL WEB DOĞRULAMA</x:v>
      </x:c>
      <x:c r="G63" s="11" t="str">
        <x:v>manual</x:v>
      </x:c>
      <x:c r="H63" s="11"/>
      <x:c r="I63" s="11" t="str">
        <x:v>FUAR_REFERANSI_YOK</x:v>
      </x:c>
      <x:c r="J63" s="11"/>
      <x:c r="K63" s="12" t="str">
        <x:v>Resmî site üzerindeki ayırt edici marka/ticari unvan, Türkiye adresi veya fuar telefon eşleşmesiyle kimlik doğrulandı. İletişim yalnız doğrulanan resmî siteden alındı. Kimlik kanıtı: https://www.cncsistem.com/</x:v>
      </x:c>
      <x:c r="L63" s="12" t="str">
        <x:v>https://www.cncsistem.com/iletisim</x:v>
      </x:c>
      <x:c r="M63" s="12" t="str">
        <x:v>https://www.cncsistem.com/iletisim</x:v>
      </x:c>
      <x:c r="N63" s="12" t="str">
        <x:v>https://www.maktekfuari.com/brand/cnc-sistem-san-tic-ltd-sti</x:v>
      </x:c>
      <x:c r="O63" s="11" t="str">
        <x:v>12</x:v>
      </x:c>
      <x:c r="P63" s="11" t="str">
        <x:v>1206</x:v>
      </x:c>
      <x:c r="Q63" s="12"/>
      <x:c r="R63" s="12"/>
    </x:row>
    <x:row r="64">
      <x:c r="A64" s="3" t="str">
        <x:v>CSM TURKEY MAKİNA SAN. İTH.İHR. DAN. TİC. LTD. ŞTİ.</x:v>
      </x:c>
      <x:c r="B64" s="3" t="str">
        <x:v>http://www.tubebender.com.tw</x:v>
      </x:c>
      <x:c r="C64" s="3" t="str">
        <x:v>info@tubebender.com.tw</x:v>
      </x:c>
      <x:c r="D64" s="3"/>
      <x:c r="E64" s="3" t="str">
        <x:v>KISMI</x:v>
      </x:c>
      <x:c r="F64" s="3" t="str">
        <x:v>SİSTEM</x:v>
      </x:c>
      <x:c r="G64" s="3" t="str">
        <x:v>medium</x:v>
      </x:c>
      <x:c r="H64" s="3" t="str">
        <x:v>84</x:v>
      </x:c>
      <x:c r="I64" s="3" t="str">
        <x:v>RESMI_SITEDE_TELEFON_YOK</x:v>
      </x:c>
      <x:c r="J64" s="3" t="str">
        <x:v>‎+90 216 504 92 25</x:v>
      </x:c>
      <x:c r="K64" s="8"/>
      <x:c r="L64" s="8" t="str">
        <x:v>http://www.tubebender.com.tw</x:v>
      </x:c>
      <x:c r="M64" s="8"/>
      <x:c r="N64" s="8" t="str">
        <x:v>https://www.maktekfuari.com/brand/csm-turkey-makina-san-ithihr-dan-tic-ltd-sti</x:v>
      </x:c>
      <x:c r="O64" s="3" t="str">
        <x:v>6</x:v>
      </x:c>
      <x:c r="P64" s="3" t="str">
        <x:v>614</x:v>
      </x:c>
      <x:c r="Q64" s="8"/>
      <x:c r="R64" s="8" t="str">
        <x:v>CHIAO SHENG MACHINERY CO LTD</x:v>
      </x:c>
    </x:row>
    <x:row r="65">
      <x:c r="A65" s="3" t="str">
        <x:v>ÇELEBİ MAK.MÜH.SÜLEYMAN ÇELEBİ</x:v>
      </x:c>
      <x:c r="B65" s="3" t="str">
        <x:v>https://www.celebimakina.com</x:v>
      </x:c>
      <x:c r="C65" s="3" t="str">
        <x:v>info@celebimakina.com</x:v>
      </x:c>
      <x:c r="D65" s="3" t="str">
        <x:v>‎0216 471 07 30</x:v>
      </x:c>
      <x:c r="E65" s="3" t="str">
        <x:v>TAM</x:v>
      </x:c>
      <x:c r="F65" s="3" t="str">
        <x:v>SİSTEM</x:v>
      </x:c>
      <x:c r="G65" s="3" t="str">
        <x:v>medium</x:v>
      </x:c>
      <x:c r="H65" s="3" t="str">
        <x:v>79</x:v>
      </x:c>
      <x:c r="I65" s="3" t="str">
        <x:v>ESLESTI</x:v>
      </x:c>
      <x:c r="J65" s="3" t="str">
        <x:v>‎+90 216 471 07 30</x:v>
      </x:c>
      <x:c r="K65" s="8"/>
      <x:c r="L65" s="8" t="str">
        <x:v>https://www.celebimakina.com</x:v>
      </x:c>
      <x:c r="M65" s="8" t="str">
        <x:v>https://www.celebimakina.com</x:v>
      </x:c>
      <x:c r="N65" s="8" t="str">
        <x:v>https://www.maktekfuari.com/brand/celebi-makmuhsuleyman-celebi</x:v>
      </x:c>
      <x:c r="O65" s="3" t="str">
        <x:v>11</x:v>
      </x:c>
      <x:c r="P65" s="3" t="str">
        <x:v>1173</x:v>
      </x:c>
      <x:c r="Q65" s="8" t="str">
        <x:v>Sky carbide</x:v>
      </x:c>
      <x:c r="R65" s="8" t="str">
        <x:v>HPMT INDUSTRIES SDN. BHD.</x:v>
      </x:c>
    </x:row>
    <x:row r="66">
      <x:c r="A66" s="11" t="str">
        <x:v>ÇELİK MAKİNA TİCARET A.Ş.</x:v>
      </x:c>
      <x:c r="B66" s="11" t="str">
        <x:v>https://www.celikmakina.com/</x:v>
      </x:c>
      <x:c r="C66" s="11" t="str">
        <x:v>info@celikmakina.com</x:v>
      </x:c>
      <x:c r="D66" s="11" t="str">
        <x:v>‎+90 216 540 97 01</x:v>
      </x:c>
      <x:c r="E66" s="11" t="str">
        <x:v>TAM</x:v>
      </x:c>
      <x:c r="F66" s="11" t="str">
        <x:v>MANUEL WEB DOĞRULAMA</x:v>
      </x:c>
      <x:c r="G66" s="11" t="str">
        <x:v>manual</x:v>
      </x:c>
      <x:c r="H66" s="11"/>
      <x:c r="I66" s="11" t="str">
        <x:v>FUAR_REFERANSI_YOK</x:v>
      </x:c>
      <x:c r="J66" s="11"/>
      <x:c r="K66" s="12" t="str">
        <x:v>Resmî site üzerindeki ayırt edici marka/ticari unvan, Türkiye adresi veya fuar telefon eşleşmesiyle kimlik doğrulandı. İletişim yalnız doğrulanan resmî siteden alındı. Kimlik kanıtı: https://www.celikmakina.com/</x:v>
      </x:c>
      <x:c r="L66" s="12" t="str">
        <x:v>https://www.celikmakina.com/</x:v>
      </x:c>
      <x:c r="M66" s="12" t="str">
        <x:v>https://www.celikmakina.com/</x:v>
      </x:c>
      <x:c r="N66" s="12" t="str">
        <x:v>https://www.maktekfuari.com/brand/celik-makina-ticaret-as</x:v>
      </x:c>
      <x:c r="O66" s="11" t="str">
        <x:v>7</x:v>
      </x:c>
      <x:c r="P66" s="11" t="str">
        <x:v>710</x:v>
      </x:c>
      <x:c r="Q66" s="12"/>
      <x:c r="R66" s="12"/>
    </x:row>
    <x:row r="67">
      <x:c r="A67" s="11" t="str">
        <x:v>ÇUKUROVA İKLİMLENDİRME A.Ş.</x:v>
      </x:c>
      <x:c r="B67" s="11" t="str">
        <x:v>https://www.cukurovaisi.com/tr/</x:v>
      </x:c>
      <x:c r="C67" s="11"/>
      <x:c r="D67" s="11" t="str">
        <x:v>‎+90 262 751 33 66</x:v>
      </x:c>
      <x:c r="E67" s="11" t="str">
        <x:v>KISMI</x:v>
      </x:c>
      <x:c r="F67" s="11" t="str">
        <x:v>MANUEL WEB DOĞRULAMA</x:v>
      </x:c>
      <x:c r="G67" s="11" t="str">
        <x:v>manual</x:v>
      </x:c>
      <x:c r="H67" s="11"/>
      <x:c r="I67" s="11" t="str">
        <x:v>MANUEL_ESLESTI</x:v>
      </x:c>
      <x:c r="J67" s="11" t="str">
        <x:v>‎+90 262 751 33 66</x:v>
      </x:c>
      <x:c r="K67" s="12" t="str">
        <x:v>Resmî site üzerindeki ayırt edici marka/ticari unvan, Türkiye adresi veya fuar telefon eşleşmesiyle kimlik doğrulandı. İletişim yalnız doğrulanan resmî siteden alındı. Kimlik kanıtı: https://www.cukurovaisi.com/tr/iletisim/</x:v>
      </x:c>
      <x:c r="L67" s="12"/>
      <x:c r="M67" s="12" t="str">
        <x:v>https://www.cukurovaisi.com/tr/iletisim/</x:v>
      </x:c>
      <x:c r="N67" s="12" t="str">
        <x:v>https://www.maktekfuari.com/brand/cukurova-iklimlendirme-as</x:v>
      </x:c>
      <x:c r="O67" s="11" t="str">
        <x:v>6</x:v>
      </x:c>
      <x:c r="P67" s="11" t="str">
        <x:v>630D</x:v>
      </x:c>
      <x:c r="Q67" s="12"/>
      <x:c r="R67" s="12"/>
    </x:row>
    <x:row r="68">
      <x:c r="A68" s="11" t="str">
        <x:v>DEKUMA MAKİNE SAN. VE TİC. LTD. ŞTİ.</x:v>
      </x:c>
      <x:c r="B68" s="11" t="str">
        <x:v>https://dekuma.com.tr</x:v>
      </x:c>
      <x:c r="C68" s="11" t="str">
        <x:v>info@dekuma.com.tr</x:v>
      </x:c>
      <x:c r="D68" s="11" t="str">
        <x:v>‎+90 224 503 74 00</x:v>
      </x:c>
      <x:c r="E68" s="11" t="str">
        <x:v>TAM</x:v>
      </x:c>
      <x:c r="F68" s="11" t="str">
        <x:v>MANUEL WEB DOĞRULAMA</x:v>
      </x:c>
      <x:c r="G68" s="11" t="str">
        <x:v>manual</x:v>
      </x:c>
      <x:c r="H68" s="11"/>
      <x:c r="I68" s="11" t="str">
        <x:v>MANUEL_ESLESTI</x:v>
      </x:c>
      <x:c r="J68" s="11" t="str">
        <x:v>‎+90 224 503 74 00</x:v>
      </x:c>
      <x:c r="K68" s="12" t="str">
        <x:v>Resmî site üzerindeki ayırt edici marka/ticari unvan, Türkiye adresi veya fuar telefon eşleşmesiyle kimlik doğrulandı. İletişim yalnız doğrulanan resmî siteden alındı. Kimlik kanıtı: https://dekuma.com.tr/tr-TR</x:v>
      </x:c>
      <x:c r="L68" s="12" t="str">
        <x:v>https://dekuma.com.tr/tr-TR</x:v>
      </x:c>
      <x:c r="M68" s="12" t="str">
        <x:v>https://dekuma.com.tr/tr-TR</x:v>
      </x:c>
      <x:c r="N68" s="12" t="str">
        <x:v>https://www.maktekfuari.com/brand/dekuma-makine-san-ve-tic-ltd-sti</x:v>
      </x:c>
      <x:c r="O68" s="11" t="str">
        <x:v>11A</x:v>
      </x:c>
      <x:c r="P68" s="11" t="str">
        <x:v>10</x:v>
      </x:c>
      <x:c r="Q68" s="12"/>
      <x:c r="R68" s="12"/>
    </x:row>
    <x:row r="69">
      <x:c r="A69" s="3" t="str">
        <x:v>DELTA KALIP ELEMANLARI SAN. VE TİC.A.Ş.</x:v>
      </x:c>
      <x:c r="B69" s="3" t="str">
        <x:v>https://www.deltakalip.com</x:v>
      </x:c>
      <x:c r="C69" s="3" t="str">
        <x:v>volkan.cebe@deltakalip.com</x:v>
      </x:c>
      <x:c r="D69" s="3" t="str">
        <x:v>‎0262 728 10 10</x:v>
      </x:c>
      <x:c r="E69" s="3" t="str">
        <x:v>TAM</x:v>
      </x:c>
      <x:c r="F69" s="3" t="str">
        <x:v>SİSTEM</x:v>
      </x:c>
      <x:c r="G69" s="3" t="str">
        <x:v>high</x:v>
      </x:c>
      <x:c r="H69" s="3" t="str">
        <x:v>100</x:v>
      </x:c>
      <x:c r="I69" s="3" t="str">
        <x:v>ESLESTI</x:v>
      </x:c>
      <x:c r="J69" s="3" t="str">
        <x:v>‎+90 262 728 10 10</x:v>
      </x:c>
      <x:c r="K69" s="8"/>
      <x:c r="L69" s="8" t="str">
        <x:v>https://www.deltakalip.com/iletisim</x:v>
      </x:c>
      <x:c r="M69" s="8" t="str">
        <x:v>https://www.deltakalip.com/iletisim</x:v>
      </x:c>
      <x:c r="N69" s="8" t="str">
        <x:v>https://www.maktekfuari.com/brand/delta-kalip-elemanlari-san-ve-ticas</x:v>
      </x:c>
      <x:c r="O69" s="3" t="str">
        <x:v>11</x:v>
      </x:c>
      <x:c r="P69" s="3" t="str">
        <x:v>1160</x:v>
      </x:c>
      <x:c r="Q69" s="8"/>
      <x:c r="R69" s="8" t="str">
        <x:v>ICAM</x:v>
      </x:c>
    </x:row>
    <x:row r="70">
      <x:c r="A70" s="3" t="str">
        <x:v>DEMETAL KALIP VE MAK. SAN. TİC. A.Ş.</x:v>
      </x:c>
      <x:c r="B70" s="3" t="str">
        <x:v>https://www.demetal.com</x:v>
      </x:c>
      <x:c r="C70" s="3" t="str">
        <x:v>sales@demetal.com</x:v>
      </x:c>
      <x:c r="D70" s="3" t="str">
        <x:v>‎0224 241 40 80</x:v>
      </x:c>
      <x:c r="E70" s="3" t="str">
        <x:v>TAM</x:v>
      </x:c>
      <x:c r="F70" s="3" t="str">
        <x:v>SİSTEM</x:v>
      </x:c>
      <x:c r="G70" s="3" t="str">
        <x:v>high</x:v>
      </x:c>
      <x:c r="H70" s="3" t="str">
        <x:v>100</x:v>
      </x:c>
      <x:c r="I70" s="3" t="str">
        <x:v>FUAR_REFERANSI_YOK</x:v>
      </x:c>
      <x:c r="J70" s="3"/>
      <x:c r="K70" s="8"/>
      <x:c r="L70" s="8" t="str">
        <x:v>https://www.demetal.com/iletisim/</x:v>
      </x:c>
      <x:c r="M70" s="8" t="str">
        <x:v>https://www.demetal.com</x:v>
      </x:c>
      <x:c r="N70" s="8" t="str">
        <x:v>https://www.maktekfuari.com/brand/demetal-kalip-ve-mak-san-tic-as</x:v>
      </x:c>
      <x:c r="O70" s="3" t="str">
        <x:v>12A</x:v>
      </x:c>
      <x:c r="P70" s="3" t="str">
        <x:v>11</x:v>
      </x:c>
      <x:c r="Q70" s="8"/>
      <x:c r="R70" s="8"/>
    </x:row>
    <x:row r="71">
      <x:c r="A71" s="3" t="str">
        <x:v>DENER MAK. SAN VE TİC AŞ</x:v>
      </x:c>
      <x:c r="B71" s="3" t="str">
        <x:v>https://tr.dener.com</x:v>
      </x:c>
      <x:c r="C71" s="3" t="str">
        <x:v>info@dener.com</x:v>
      </x:c>
      <x:c r="D71" s="3" t="str">
        <x:v>‎0352 321 13 50</x:v>
      </x:c>
      <x:c r="E71" s="3" t="str">
        <x:v>TAM</x:v>
      </x:c>
      <x:c r="F71" s="3" t="str">
        <x:v>SİSTEM</x:v>
      </x:c>
      <x:c r="G71" s="3" t="str">
        <x:v>high</x:v>
      </x:c>
      <x:c r="H71" s="3" t="str">
        <x:v>100</x:v>
      </x:c>
      <x:c r="I71" s="3" t="str">
        <x:v>FARKLI_RESMI_SITE_ONCELIKLI</x:v>
      </x:c>
      <x:c r="J71" s="3" t="str">
        <x:v>‎+90 549 838 88 86</x:v>
      </x:c>
      <x:c r="K71" s="8"/>
      <x:c r="L71" s="8" t="str">
        <x:v>https://tr.dener.com</x:v>
      </x:c>
      <x:c r="M71" s="8" t="str">
        <x:v>https://tr.dener.com</x:v>
      </x:c>
      <x:c r="N71" s="8" t="str">
        <x:v>https://www.maktekfuari.com/brand/dener-mak-san-ve-tic-as</x:v>
      </x:c>
      <x:c r="O71" s="3" t="str">
        <x:v>3</x:v>
      </x:c>
      <x:c r="P71" s="3" t="str">
        <x:v>318</x:v>
      </x:c>
      <x:c r="Q71" s="8"/>
      <x:c r="R71" s="8"/>
    </x:row>
    <x:row r="72">
      <x:c r="A72" s="3" t="str">
        <x:v>DİRİNLER MAKİNA SAN.VE TİCARET A.Ş.</x:v>
      </x:c>
      <x:c r="B72" s="3" t="str">
        <x:v>https://www.dirinler.com.tr</x:v>
      </x:c>
      <x:c r="C72" s="3" t="str">
        <x:v>pazarlama@dirinler.com.tr</x:v>
      </x:c>
      <x:c r="D72" s="3" t="str">
        <x:v>‎0232 376 72 00</x:v>
      </x:c>
      <x:c r="E72" s="3" t="str">
        <x:v>TAM</x:v>
      </x:c>
      <x:c r="F72" s="3" t="str">
        <x:v>SİSTEM</x:v>
      </x:c>
      <x:c r="G72" s="3" t="str">
        <x:v>high</x:v>
      </x:c>
      <x:c r="H72" s="3" t="str">
        <x:v>100</x:v>
      </x:c>
      <x:c r="I72" s="3" t="str">
        <x:v>ESLESTI</x:v>
      </x:c>
      <x:c r="J72" s="3" t="str">
        <x:v>‎+90 232 376 72 00</x:v>
      </x:c>
      <x:c r="K72" s="8"/>
      <x:c r="L72" s="8" t="str">
        <x:v>https://www.dirinler.com.tr</x:v>
      </x:c>
      <x:c r="M72" s="8" t="str">
        <x:v>https://www.dirinler.com.tr</x:v>
      </x:c>
      <x:c r="N72" s="8" t="str">
        <x:v>https://www.maktekfuari.com/brand/dirinler-makina-sanve-ticaret-as</x:v>
      </x:c>
      <x:c r="O72" s="3" t="str">
        <x:v>8</x:v>
      </x:c>
      <x:c r="P72" s="3" t="str">
        <x:v>809</x:v>
      </x:c>
      <x:c r="Q72" s="8"/>
      <x:c r="R72" s="8"/>
    </x:row>
    <x:row r="73">
      <x:c r="A73" s="11" t="str">
        <x:v>DMS CNC MAKİNA SAN VE TİC LTD ŞTİ</x:v>
      </x:c>
      <x:c r="B73" s="11" t="str">
        <x:v>https://www.dmscnc.com/</x:v>
      </x:c>
      <x:c r="C73" s="11"/>
      <x:c r="D73" s="11" t="str">
        <x:v>‎0332 345 18 38</x:v>
      </x:c>
      <x:c r="E73" s="11" t="str">
        <x:v>KISMI</x:v>
      </x:c>
      <x:c r="F73" s="11" t="str">
        <x:v>MANUEL WEB DOĞRULAMA</x:v>
      </x:c>
      <x:c r="G73" s="11" t="str">
        <x:v>manual</x:v>
      </x:c>
      <x:c r="H73" s="11"/>
      <x:c r="I73" s="11" t="str">
        <x:v>MANUEL_ESLESTI</x:v>
      </x:c>
      <x:c r="J73" s="11" t="str">
        <x:v>‎+90 332 345 18 38</x:v>
      </x:c>
      <x:c r="K73" s="12" t="str">
        <x:v>Resmî site üzerindeki ayırt edici marka/ticari unvan, Türkiye adresi veya fuar telefon eşleşmesiyle kimlik doğrulandı. İletişim yalnız doğrulanan resmî siteden alındı. Kimlik kanıtı: https://www.dmscnc.com/iletisim-bilgilerimiz</x:v>
      </x:c>
      <x:c r="L73" s="12"/>
      <x:c r="M73" s="12" t="str">
        <x:v>https://www.dmscnc.com/iletisim-bilgilerimiz</x:v>
      </x:c>
      <x:c r="N73" s="12" t="str">
        <x:v>https://www.maktekfuari.com/brand/dms-cnc-makina-san-ve-tic-ltd-sti</x:v>
      </x:c>
      <x:c r="O73" s="11" t="str">
        <x:v>8</x:v>
      </x:c>
      <x:c r="P73" s="11" t="str">
        <x:v>808</x:v>
      </x:c>
      <x:c r="Q73" s="12" t="str">
        <x:v>HARTFORD; SHINZAWA; HANKOOK</x:v>
      </x:c>
      <x:c r="R73" s="12" t="str">
        <x:v>SHE HONG INDUSTRIAL CO. LTD; SHINZAWA; HANKOOK MACHINE TOOLS</x:v>
      </x:c>
    </x:row>
    <x:row r="74">
      <x:c r="A74" s="3" t="str">
        <x:v>DORA CNC SAN. VE TİC. LTD. ŞTİ.</x:v>
      </x:c>
      <x:c r="B74" s="3" t="str">
        <x:v>https://doracnc.com</x:v>
      </x:c>
      <x:c r="C74" s="3"/>
      <x:c r="D74" s="3" t="str">
        <x:v>‎0530 280 48 11</x:v>
      </x:c>
      <x:c r="E74" s="3" t="str">
        <x:v>KISMI</x:v>
      </x:c>
      <x:c r="F74" s="3" t="str">
        <x:v>SİSTEM</x:v>
      </x:c>
      <x:c r="G74" s="3" t="str">
        <x:v>high</x:v>
      </x:c>
      <x:c r="H74" s="3" t="str">
        <x:v>100</x:v>
      </x:c>
      <x:c r="I74" s="3" t="str">
        <x:v>FARKLI_RESMI_SITE_ONCELIKLI</x:v>
      </x:c>
      <x:c r="J74" s="3" t="str">
        <x:v>‎+90 533 332 80 05</x:v>
      </x:c>
      <x:c r="K74" s="8"/>
      <x:c r="L74" s="8"/>
      <x:c r="M74" s="8" t="str">
        <x:v>https://doracnc.com</x:v>
      </x:c>
      <x:c r="N74" s="8" t="str">
        <x:v>https://www.maktekfuari.com/brand/dora-cnc-san-ve-tic-ltd-sti</x:v>
      </x:c>
      <x:c r="O74" s="3" t="str">
        <x:v>12A</x:v>
      </x:c>
      <x:c r="P74" s="3" t="str">
        <x:v>45</x:v>
      </x:c>
      <x:c r="Q74" s="8"/>
      <x:c r="R74" s="8"/>
    </x:row>
    <x:row r="75">
      <x:c r="A75" s="11" t="str">
        <x:v>DR ELEKTRİK MAK.MÜH.OTOM.İNŞ.SAN.VE TİC.LTD.ŞTİ.</x:v>
      </x:c>
      <x:c r="B75" s="11" t="str">
        <x:v>http://www.drmakine.com</x:v>
      </x:c>
      <x:c r="C75" s="11" t="str">
        <x:v>info@drmakine.com</x:v>
      </x:c>
      <x:c r="D75" s="11" t="str">
        <x:v>‎0332 342 37 09</x:v>
      </x:c>
      <x:c r="E75" s="11" t="str">
        <x:v>TAM</x:v>
      </x:c>
      <x:c r="F75" s="11" t="str">
        <x:v>MANUEL WEB DOĞRULAMA</x:v>
      </x:c>
      <x:c r="G75" s="11" t="str">
        <x:v>manual</x:v>
      </x:c>
      <x:c r="H75" s="11"/>
      <x:c r="I75" s="11" t="str">
        <x:v>FARKLI_RESMI_SITE_ONCELIKLI</x:v>
      </x:c>
      <x:c r="J75" s="11" t="str">
        <x:v>‎+90 532 696 15 47</x:v>
      </x:c>
      <x:c r="K75" s="12" t="str">
        <x:v>Resmî site üzerindeki ayırt edici marka/ticari unvan, Türkiye adresi veya fuar telefon eşleşmesiyle kimlik doğrulandı. İletişim yalnız doğrulanan resmî siteden alındı. Kimlik kanıtı: http://www.drmakine.com/page/1473148567/servis</x:v>
      </x:c>
      <x:c r="L75" s="12" t="str">
        <x:v>http://www.drmakine.com/</x:v>
      </x:c>
      <x:c r="M75" s="12" t="str">
        <x:v>http://www.drmakine.com/</x:v>
      </x:c>
      <x:c r="N75" s="12" t="str">
        <x:v>https://www.maktekfuari.com/brand/dr-elektrik-makmuhotominssanve-ticltdsti</x:v>
      </x:c>
      <x:c r="O75" s="11" t="str">
        <x:v>9</x:v>
      </x:c>
      <x:c r="P75" s="11" t="str">
        <x:v>919</x:v>
      </x:c>
      <x:c r="Q75" s="12"/>
      <x:c r="R75" s="12"/>
    </x:row>
    <x:row r="76">
      <x:c r="A76" s="3" t="str">
        <x:v>DURMAZLAR MAKİNA SAN. VE TİC. A. Ş.</x:v>
      </x:c>
      <x:c r="B76" s="3" t="str">
        <x:v>https://www.durmazlar.com.tr</x:v>
      </x:c>
      <x:c r="C76" s="3" t="str">
        <x:v>info@durmazlar.com.tr</x:v>
      </x:c>
      <x:c r="D76" s="3" t="str">
        <x:v>‎0224 219 18 00</x:v>
      </x:c>
      <x:c r="E76" s="3" t="str">
        <x:v>TAM</x:v>
      </x:c>
      <x:c r="F76" s="3" t="str">
        <x:v>SİSTEM</x:v>
      </x:c>
      <x:c r="G76" s="3" t="str">
        <x:v>high</x:v>
      </x:c>
      <x:c r="H76" s="3" t="str">
        <x:v>100</x:v>
      </x:c>
      <x:c r="I76" s="3" t="str">
        <x:v>FUAR_REFERANSI_YOK</x:v>
      </x:c>
      <x:c r="J76" s="3"/>
      <x:c r="K76" s="8"/>
      <x:c r="L76" s="8" t="str">
        <x:v>https://www.durmazlar.com.tr/iletisim/</x:v>
      </x:c>
      <x:c r="M76" s="8" t="str">
        <x:v>https://www.durmazlar.com.tr/iletisim/</x:v>
      </x:c>
      <x:c r="N76" s="8" t="str">
        <x:v>https://www.maktekfuari.com/brand/durmazlar-makina-san-ve-tic-a-s</x:v>
      </x:c>
      <x:c r="O76" s="3" t="str">
        <x:v>3</x:v>
      </x:c>
      <x:c r="P76" s="3" t="str">
        <x:v>304</x:v>
      </x:c>
      <x:c r="Q76" s="8"/>
      <x:c r="R76" s="8"/>
    </x:row>
    <x:row r="77">
      <x:c r="A77" s="3" t="str">
        <x:v>DURO MAKİNA KALIP SAN VE TİC LTD ŞTİ</x:v>
      </x:c>
      <x:c r="B77" s="3" t="str">
        <x:v>https://www.duromakina.com.tr</x:v>
      </x:c>
      <x:c r="C77" s="3" t="str">
        <x:v>murat@duromakina.com.tr</x:v>
      </x:c>
      <x:c r="D77" s="3" t="str">
        <x:v>‎0212 576 00 44</x:v>
      </x:c>
      <x:c r="E77" s="3" t="str">
        <x:v>TAM</x:v>
      </x:c>
      <x:c r="F77" s="3" t="str">
        <x:v>SİSTEM</x:v>
      </x:c>
      <x:c r="G77" s="3" t="str">
        <x:v>medium</x:v>
      </x:c>
      <x:c r="H77" s="3" t="str">
        <x:v>79</x:v>
      </x:c>
      <x:c r="I77" s="3" t="str">
        <x:v>ESLESTI</x:v>
      </x:c>
      <x:c r="J77" s="3" t="str">
        <x:v>‎+90 212 576 00 44</x:v>
      </x:c>
      <x:c r="K77" s="8"/>
      <x:c r="L77" s="8" t="str">
        <x:v>https://www.duromakina.com.tr/tr/iletisim</x:v>
      </x:c>
      <x:c r="M77" s="8" t="str">
        <x:v>https://www.duromakina.com.tr/tr/iletisim</x:v>
      </x:c>
      <x:c r="N77" s="8" t="str">
        <x:v>https://www.maktekfuari.com/brand/duro-makina-kalip-san-ve-tic-ltd-sti</x:v>
      </x:c>
      <x:c r="O77" s="3" t="str">
        <x:v>1</x:v>
      </x:c>
      <x:c r="P77" s="3" t="str">
        <x:v>112</x:v>
      </x:c>
      <x:c r="Q77" s="8"/>
      <x:c r="R77" s="8"/>
    </x:row>
    <x:row r="78">
      <x:c r="A78" s="3" t="str">
        <x:v>DÜNYA MEDYA BAS. YAY. REK. TAN. HİZ. İLKER KAPLAN</x:v>
      </x:c>
      <x:c r="B78" s="3" t="str">
        <x:v>https://www.dunyamedya.com.tr</x:v>
      </x:c>
      <x:c r="C78" s="3" t="str">
        <x:v>info@dunyamedya.com.tr</x:v>
      </x:c>
      <x:c r="D78" s="3" t="str">
        <x:v>‎0312 490 09 00</x:v>
      </x:c>
      <x:c r="E78" s="3" t="str">
        <x:v>TAM</x:v>
      </x:c>
      <x:c r="F78" s="3" t="str">
        <x:v>SİSTEM</x:v>
      </x:c>
      <x:c r="G78" s="3" t="str">
        <x:v>high</x:v>
      </x:c>
      <x:c r="H78" s="3" t="str">
        <x:v>98</x:v>
      </x:c>
      <x:c r="I78" s="3" t="str">
        <x:v>FUAR_REFERANSI_YOK</x:v>
      </x:c>
      <x:c r="J78" s="3"/>
      <x:c r="K78" s="8"/>
      <x:c r="L78" s="8" t="str">
        <x:v>https://www.dunyamedya.com.tr</x:v>
      </x:c>
      <x:c r="M78" s="8" t="str">
        <x:v>https://www.dunyamedya.com.tr/iletisim.php</x:v>
      </x:c>
      <x:c r="N78" s="8" t="str">
        <x:v>https://www.maktekfuari.com/brand/dunya-medya-bas-yay-rek-tan-hiz-ilker-kaplan</x:v>
      </x:c>
      <x:c r="O78" s="3" t="str">
        <x:v>SalonNo</x:v>
      </x:c>
      <x:c r="P78" s="3" t="str">
        <x:v>StandNo</x:v>
      </x:c>
      <x:c r="Q78" s="8"/>
      <x:c r="R78" s="8"/>
    </x:row>
    <x:row r="79">
      <x:c r="A79" s="3" t="str">
        <x:v>EA GLOBAL LAZER TEKNOLOJİ MAKİNE SAN. VE TİC. LTD. ŞTİ.</x:v>
      </x:c>
      <x:c r="B79" s="3" t="str">
        <x:v>https://www.eagloballazer.com</x:v>
      </x:c>
      <x:c r="C79" s="3" t="str">
        <x:v>info@eagloballazer.com</x:v>
      </x:c>
      <x:c r="D79" s="3" t="str">
        <x:v>‎0544 321 48 36</x:v>
      </x:c>
      <x:c r="E79" s="3" t="str">
        <x:v>TAM</x:v>
      </x:c>
      <x:c r="F79" s="3" t="str">
        <x:v>SİSTEM</x:v>
      </x:c>
      <x:c r="G79" s="3" t="str">
        <x:v>medium</x:v>
      </x:c>
      <x:c r="H79" s="3" t="str">
        <x:v>87</x:v>
      </x:c>
      <x:c r="I79" s="3" t="str">
        <x:v>ESLESTI</x:v>
      </x:c>
      <x:c r="J79" s="3" t="str">
        <x:v>‎+90 544 321 48 36</x:v>
      </x:c>
      <x:c r="K79" s="8"/>
      <x:c r="L79" s="8" t="str">
        <x:v>https://www.eagloballazer.com/iletisim</x:v>
      </x:c>
      <x:c r="M79" s="8" t="str">
        <x:v>https://www.eagloballazer.com</x:v>
      </x:c>
      <x:c r="N79" s="8" t="str">
        <x:v>https://www.maktekfuari.com/brand/ea-global-lazer-teknoloji-makine-san-ve-tic-ltd-sti</x:v>
      </x:c>
      <x:c r="O79" s="3" t="str">
        <x:v>12A</x:v>
      </x:c>
      <x:c r="P79" s="3" t="str">
        <x:v>49B</x:v>
      </x:c>
      <x:c r="Q79" s="8" t="str">
        <x:v>EA GLOBAL</x:v>
      </x:c>
      <x:c r="R79" s="8" t="str">
        <x:v>Shanghai BOCHU Trading Co., Ltd.; GVB GmbH - Solutions in Glass; HG WUHAN HUAGONG INTERNATIONAL DEVOLEPMENT CO. LTD.</x:v>
      </x:c>
    </x:row>
    <x:row r="80">
      <x:c r="A80" s="3" t="str">
        <x:v>EAE MAKİNA SAN. VE TİC. A.Ş.</x:v>
      </x:c>
      <x:c r="B80" s="3" t="str">
        <x:v>https://www.eaemachinery.com</x:v>
      </x:c>
      <x:c r="C80" s="3" t="str">
        <x:v>mkn.satis@eaegroup.com</x:v>
      </x:c>
      <x:c r="D80" s="3" t="str">
        <x:v>‎0262 999 05 80</x:v>
      </x:c>
      <x:c r="E80" s="3" t="str">
        <x:v>TAM</x:v>
      </x:c>
      <x:c r="F80" s="3" t="str">
        <x:v>SİSTEM</x:v>
      </x:c>
      <x:c r="G80" s="3" t="str">
        <x:v>high</x:v>
      </x:c>
      <x:c r="H80" s="3" t="str">
        <x:v>100</x:v>
      </x:c>
      <x:c r="I80" s="3" t="str">
        <x:v>ESLESTI</x:v>
      </x:c>
      <x:c r="J80" s="3" t="str">
        <x:v>‎+90 262 999 05 80</x:v>
      </x:c>
      <x:c r="K80" s="8"/>
      <x:c r="L80" s="8" t="str">
        <x:v>https://www.eaemachinery.com/contact/?lang=ru</x:v>
      </x:c>
      <x:c r="M80" s="8" t="str">
        <x:v>https://www.eaemachinery.com/contact/?lang=ru</x:v>
      </x:c>
      <x:c r="N80" s="8" t="str">
        <x:v>https://www.maktekfuari.com/brand/eae-makina-san-ve-tic-as</x:v>
      </x:c>
      <x:c r="O80" s="3" t="str">
        <x:v>1</x:v>
      </x:c>
      <x:c r="P80" s="3" t="str">
        <x:v>104A</x:v>
      </x:c>
      <x:c r="Q80" s="8" t="str">
        <x:v>eae machinery</x:v>
      </x:c>
      <x:c r="R80" s="8"/>
    </x:row>
    <x:row r="81">
      <x:c r="A81" s="3" t="str">
        <x:v>EDM TEKNİK MAKİNE SAN. VE TİC. LTD. ŞTİ.</x:v>
      </x:c>
      <x:c r="B81" s="3" t="str">
        <x:v>https://edmteknik.com</x:v>
      </x:c>
      <x:c r="C81" s="3" t="str">
        <x:v>info@edmteknik.com</x:v>
      </x:c>
      <x:c r="D81" s="3" t="str">
        <x:v>‎0216 540 13 36</x:v>
      </x:c>
      <x:c r="E81" s="3" t="str">
        <x:v>TAM</x:v>
      </x:c>
      <x:c r="F81" s="3" t="str">
        <x:v>SİSTEM</x:v>
      </x:c>
      <x:c r="G81" s="3" t="str">
        <x:v>medium</x:v>
      </x:c>
      <x:c r="H81" s="3" t="str">
        <x:v>79</x:v>
      </x:c>
      <x:c r="I81" s="3" t="str">
        <x:v>ESLESTI</x:v>
      </x:c>
      <x:c r="J81" s="3" t="str">
        <x:v>‎+90 216 540 13 36</x:v>
      </x:c>
      <x:c r="K81" s="8"/>
      <x:c r="L81" s="8" t="str">
        <x:v>https://edmteknik.com</x:v>
      </x:c>
      <x:c r="M81" s="8" t="str">
        <x:v>https://edmteknik.com</x:v>
      </x:c>
      <x:c r="N81" s="8" t="str">
        <x:v>https://www.maktekfuari.com/brand/edm-teknik-makine-san-ve-tic-ltd-sti</x:v>
      </x:c>
      <x:c r="O81" s="3" t="str">
        <x:v>5</x:v>
      </x:c>
      <x:c r="P81" s="3" t="str">
        <x:v>512</x:v>
      </x:c>
      <x:c r="Q81" s="8"/>
      <x:c r="R81" s="8" t="str">
        <x:v>AccuteX Technologies Co.,Ltd</x:v>
      </x:c>
    </x:row>
    <x:row r="82">
      <x:c r="A82" s="3" t="str">
        <x:v>EFEMET KESİCİ TAKIMLAR SAN.TİC.LTD.ŞTİ.</x:v>
      </x:c>
      <x:c r="B82" s="3" t="str">
        <x:v>https://efemet.com.tr</x:v>
      </x:c>
      <x:c r="C82" s="3"/>
      <x:c r="D82" s="3" t="str">
        <x:v>‎0224 443 60 48</x:v>
      </x:c>
      <x:c r="E82" s="3" t="str">
        <x:v>KISMI</x:v>
      </x:c>
      <x:c r="F82" s="3" t="str">
        <x:v>SİSTEM</x:v>
      </x:c>
      <x:c r="G82" s="3" t="str">
        <x:v>high</x:v>
      </x:c>
      <x:c r="H82" s="3" t="str">
        <x:v>100</x:v>
      </x:c>
      <x:c r="I82" s="3" t="str">
        <x:v>ESLESTI</x:v>
      </x:c>
      <x:c r="J82" s="3" t="str">
        <x:v>‎+90 224 443 60 45</x:v>
      </x:c>
      <x:c r="K82" s="8"/>
      <x:c r="L82" s="8"/>
      <x:c r="M82" s="8" t="str">
        <x:v>https://efemet.com.tr/iletisim</x:v>
      </x:c>
      <x:c r="N82" s="8" t="str">
        <x:v>https://www.maktekfuari.com/brand/efemet-kesici-takimlar-santicltdsti</x:v>
      </x:c>
      <x:c r="O82" s="3" t="str">
        <x:v>11</x:v>
      </x:c>
      <x:c r="P82" s="3" t="str">
        <x:v>1174A</x:v>
      </x:c>
      <x:c r="Q82" s="8"/>
      <x:c r="R82" s="8" t="str">
        <x:v>Inovatools Eckerle &amp; Ertel GmbH; FABRYKA NARZEDZI FANAR S.A.; Paul Dümmel Werkzeugfabrik GmbH; Tocho Marking Systems, Inc; Blue Photon Technology &amp; Workholding Systems LLC</x:v>
      </x:c>
    </x:row>
    <x:row r="83">
      <x:c r="A83" s="3" t="str">
        <x:v>EGE TEKNİK CNC MAK. İTH. İHR. TİC. SAN. LTD. ŞTİ.</x:v>
      </x:c>
      <x:c r="B83" s="3" t="str">
        <x:v>https://egeteknikcnc.com.tr</x:v>
      </x:c>
      <x:c r="C83" s="3" t="str">
        <x:v>info@egeteknikcnc.com.tr</x:v>
      </x:c>
      <x:c r="D83" s="3" t="str">
        <x:v>‎0232 375 71 00</x:v>
      </x:c>
      <x:c r="E83" s="3" t="str">
        <x:v>TAM</x:v>
      </x:c>
      <x:c r="F83" s="3" t="str">
        <x:v>SİSTEM</x:v>
      </x:c>
      <x:c r="G83" s="3" t="str">
        <x:v>high</x:v>
      </x:c>
      <x:c r="H83" s="3" t="str">
        <x:v>95</x:v>
      </x:c>
      <x:c r="I83" s="3" t="str">
        <x:v>FARKLI_RESMI_SITE_ONCELIKLI</x:v>
      </x:c>
      <x:c r="J83" s="3" t="str">
        <x:v>‎+90 535 385 13 80</x:v>
      </x:c>
      <x:c r="K83" s="8"/>
      <x:c r="L83" s="8" t="str">
        <x:v>https://egeteknikcnc.com.tr/iletisim/</x:v>
      </x:c>
      <x:c r="M83" s="8" t="str">
        <x:v>https://egeteknikcnc.com.tr/iletisim/</x:v>
      </x:c>
      <x:c r="N83" s="8" t="str">
        <x:v>https://www.maktekfuari.com/brand/ege-teknik-cnc-mak-ith-ihr-tic-san-ltd-sti</x:v>
      </x:c>
      <x:c r="O83" s="3" t="str">
        <x:v>12</x:v>
      </x:c>
      <x:c r="P83" s="3" t="str">
        <x:v>1225</x:v>
      </x:c>
      <x:c r="Q83" s="8" t="str">
        <x:v>PROSEIKI</x:v>
      </x:c>
      <x:c r="R83" s="8"/>
    </x:row>
    <x:row r="84">
      <x:c r="A84" s="3" t="str">
        <x:v>EKSEN TAKIM TEZGAHLARI VE MAK. SAN. TİC. LTD. ŞTİ.</x:v>
      </x:c>
      <x:c r="B84" s="3" t="str">
        <x:v>https://eksenmakinecnc.com</x:v>
      </x:c>
      <x:c r="C84" s="3" t="str">
        <x:v>satis@eksenmakinecnc.com</x:v>
      </x:c>
      <x:c r="D84" s="3" t="str">
        <x:v>‎0312 354 21 05</x:v>
      </x:c>
      <x:c r="E84" s="3" t="str">
        <x:v>TAM</x:v>
      </x:c>
      <x:c r="F84" s="3" t="str">
        <x:v>SİSTEM</x:v>
      </x:c>
      <x:c r="G84" s="3" t="str">
        <x:v>medium</x:v>
      </x:c>
      <x:c r="H84" s="3" t="str">
        <x:v>81</x:v>
      </x:c>
      <x:c r="I84" s="3" t="str">
        <x:v>FARKLI_RESMI_SITE_ONCELIKLI</x:v>
      </x:c>
      <x:c r="J84" s="3" t="str">
        <x:v>‎+90 530 354 54 08</x:v>
      </x:c>
      <x:c r="K84" s="8"/>
      <x:c r="L84" s="8" t="str">
        <x:v>https://eksenmakinecnc.com</x:v>
      </x:c>
      <x:c r="M84" s="8" t="str">
        <x:v>https://eksenmakinecnc.com</x:v>
      </x:c>
      <x:c r="N84" s="8" t="str">
        <x:v>https://www.maktekfuari.com/brand/eksen-takim-tezgahlari-ve-mak-san-tic-ltd-sti</x:v>
      </x:c>
      <x:c r="O84" s="3" t="str">
        <x:v>11A</x:v>
      </x:c>
      <x:c r="P84" s="3" t="str">
        <x:v>38</x:v>
      </x:c>
      <x:c r="Q84" s="8"/>
      <x:c r="R84" s="8"/>
    </x:row>
    <x:row r="85">
      <x:c r="A85" s="11" t="str">
        <x:v>ELAR ELEKTRONİK MAKİNA VE KAUÇUK SAN. TİC. LTD. STI.</x:v>
      </x:c>
      <x:c r="B85" s="11" t="str">
        <x:v>https://www.elarmak.com</x:v>
      </x:c>
      <x:c r="C85" s="11" t="str">
        <x:v>info@elarmak.com</x:v>
      </x:c>
      <x:c r="D85" s="11" t="str">
        <x:v>‎+90 212 501 55 60</x:v>
      </x:c>
      <x:c r="E85" s="11" t="str">
        <x:v>TAM</x:v>
      </x:c>
      <x:c r="F85" s="11" t="str">
        <x:v>MANUEL WEB DOĞRULAMA</x:v>
      </x:c>
      <x:c r="G85" s="11" t="str">
        <x:v>manual</x:v>
      </x:c>
      <x:c r="H85" s="11"/>
      <x:c r="I85" s="11" t="str">
        <x:v>MANUEL_ESLESTI</x:v>
      </x:c>
      <x:c r="J85" s="11" t="str">
        <x:v>‎+90 212 501 55 60</x:v>
      </x:c>
      <x:c r="K85" s="12" t="str">
        <x:v>Resmî site üzerindeki ayırt edici marka/ticari unvan, Türkiye adresi veya fuar telefon eşleşmesiyle kimlik doğrulandı. İletişim yalnız doğrulanan resmî siteden alındı. Kimlik kanıtı: https://www.elarmak.com/</x:v>
      </x:c>
      <x:c r="L85" s="12" t="str">
        <x:v>https://www.elarmak.com/</x:v>
      </x:c>
      <x:c r="M85" s="12" t="str">
        <x:v>https://www.elarmak.com/</x:v>
      </x:c>
      <x:c r="N85" s="12" t="str">
        <x:v>https://www.maktekfuari.com/brand/elar-elektronik-makina-ve-kaucuk-san-tic-ltd-sti</x:v>
      </x:c>
      <x:c r="O85" s="11" t="str">
        <x:v>5 / 9</x:v>
      </x:c>
      <x:c r="P85" s="11" t="str">
        <x:v>500 / 905</x:v>
      </x:c>
      <x:c r="Q85" s="12" t="str">
        <x:v>ELAR EXCELLENT</x:v>
      </x:c>
      <x:c r="R85" s="12"/>
    </x:row>
    <x:row r="86">
      <x:c r="A86" s="11" t="str">
        <x:v>ELMAKSAN CNC MAKINA TAKIM TEZGAHLARI SANAYI VE TICARET LIMITED SIRKETI</x:v>
      </x:c>
      <x:c r="B86" s="11" t="str">
        <x:v>https://www.cncticaret.com/</x:v>
      </x:c>
      <x:c r="C86" s="11" t="str">
        <x:v>info@cncticaret.com</x:v>
      </x:c>
      <x:c r="D86" s="11" t="str">
        <x:v>‎0532 735 92 85</x:v>
      </x:c>
      <x:c r="E86" s="11" t="str">
        <x:v>TAM</x:v>
      </x:c>
      <x:c r="F86" s="11" t="str">
        <x:v>MANUEL WEB DOĞRULAMA</x:v>
      </x:c>
      <x:c r="G86" s="11" t="str">
        <x:v>manual</x:v>
      </x:c>
      <x:c r="H86" s="11"/>
      <x:c r="I86" s="11" t="str">
        <x:v>MANUEL_ESLESTI</x:v>
      </x:c>
      <x:c r="J86" s="11" t="str">
        <x:v>‎+90 532 735 92 85</x:v>
      </x:c>
      <x:c r="K86" s="12" t="str">
        <x:v>Resmî site üzerindeki ayırt edici marka/ticari unvan, Türkiye adresi veya fuar telefon eşleşmesiyle kimlik doğrulandı. İletişim yalnız doğrulanan resmî siteden alındı. Kimlik kanıtı: https://www.cncticaret.com/hakkimizda/</x:v>
      </x:c>
      <x:c r="L86" s="12" t="str">
        <x:v>https://www.cncticaret.com/</x:v>
      </x:c>
      <x:c r="M86" s="12" t="str">
        <x:v>https://www.cncticaret.com/</x:v>
      </x:c>
      <x:c r="N86" s="12" t="str">
        <x:v>https://www.maktekfuari.com/brand/elmaksan-cnc-makina-takim-tezgahlari-sanayi-ve-ticaret-limited-sirketi</x:v>
      </x:c>
      <x:c r="O86" s="11" t="str">
        <x:v>12</x:v>
      </x:c>
      <x:c r="P86" s="11" t="str">
        <x:v>1232</x:v>
      </x:c>
      <x:c r="Q86" s="12"/>
      <x:c r="R86" s="12"/>
    </x:row>
    <x:row r="87">
      <x:c r="A87" s="3" t="str">
        <x:v>ELMALI MAKİNA SANAYİ VE TİCARET LTD. ŞTİ.</x:v>
      </x:c>
      <x:c r="B87" s="3" t="str">
        <x:v>https://www.elmali.com.tr</x:v>
      </x:c>
      <x:c r="C87" s="3" t="str">
        <x:v>global@elmali.com.tr</x:v>
      </x:c>
      <x:c r="D87" s="3" t="str">
        <x:v>‎0332 239 19 80</x:v>
      </x:c>
      <x:c r="E87" s="3" t="str">
        <x:v>TAM</x:v>
      </x:c>
      <x:c r="F87" s="3" t="str">
        <x:v>SİSTEM</x:v>
      </x:c>
      <x:c r="G87" s="3" t="str">
        <x:v>medium</x:v>
      </x:c>
      <x:c r="H87" s="3" t="str">
        <x:v>87</x:v>
      </x:c>
      <x:c r="I87" s="3" t="str">
        <x:v>ESLESTI</x:v>
      </x:c>
      <x:c r="J87" s="3" t="str">
        <x:v>‎+90 332 239 19 80</x:v>
      </x:c>
      <x:c r="K87" s="8"/>
      <x:c r="L87" s="8" t="str">
        <x:v>https://www.elmali.com.tr/iletisim</x:v>
      </x:c>
      <x:c r="M87" s="8" t="str">
        <x:v>https://www.elmali.com.tr</x:v>
      </x:c>
      <x:c r="N87" s="8" t="str">
        <x:v>https://www.maktekfuari.com/brand/elmali-makina-sanayi-ve-ticaret-ltd-sti</x:v>
      </x:c>
      <x:c r="O87" s="3" t="str">
        <x:v>2</x:v>
      </x:c>
      <x:c r="P87" s="3" t="str">
        <x:v>202</x:v>
      </x:c>
      <x:c r="Q87" s="8"/>
      <x:c r="R87" s="8"/>
    </x:row>
    <x:row r="88">
      <x:c r="A88" s="11" t="str">
        <x:v>ELMAS MAKİNE KESİCİ TAK SAN TİC LTD ŞTİ.</x:v>
      </x:c>
      <x:c r="B88" s="11" t="str">
        <x:v>https://www.elmaskeles.com/</x:v>
      </x:c>
      <x:c r="C88" s="11" t="str">
        <x:v>bilgi@elmaskeles.com</x:v>
      </x:c>
      <x:c r="D88" s="11" t="str">
        <x:v>‎+90 212 544 45 46</x:v>
      </x:c>
      <x:c r="E88" s="11" t="str">
        <x:v>TAM</x:v>
      </x:c>
      <x:c r="F88" s="11" t="str">
        <x:v>MANUEL WEB DOĞRULAMA</x:v>
      </x:c>
      <x:c r="G88" s="11" t="str">
        <x:v>manual</x:v>
      </x:c>
      <x:c r="H88" s="11"/>
      <x:c r="I88" s="11" t="str">
        <x:v>MANUEL_ESLESTI</x:v>
      </x:c>
      <x:c r="J88" s="11" t="str">
        <x:v>‎+90 212 544 45 46</x:v>
      </x:c>
      <x:c r="K88" s="12" t="str">
        <x:v>Resmî site üzerindeki ayırt edici marka/ticari unvan, Türkiye adresi veya fuar telefon eşleşmesiyle kimlik doğrulandı. İletişim yalnız doğrulanan resmî siteden alındı. Kimlik kanıtı: https://www.elmaskeles.com/</x:v>
      </x:c>
      <x:c r="L88" s="12" t="str">
        <x:v>https://www.elmaskeles.com/</x:v>
      </x:c>
      <x:c r="M88" s="12" t="str">
        <x:v>https://www.elmaskeles.com/</x:v>
      </x:c>
      <x:c r="N88" s="12" t="str">
        <x:v>https://www.maktekfuari.com/brand/elmas-makine-kesici-tak-san-tic-ltd-sti</x:v>
      </x:c>
      <x:c r="O88" s="11" t="str">
        <x:v>11</x:v>
      </x:c>
      <x:c r="P88" s="11" t="str">
        <x:v>1180</x:v>
      </x:c>
      <x:c r="Q88" s="12" t="str">
        <x:v>Cardiff</x:v>
      </x:c>
      <x:c r="R88" s="12" t="str">
        <x:v>Hyperion Materials &amp; Technology; Sinter Sud; AFC Hartmetall; CUOGHI; Schaublin SA; Chia Lern CO. LTD; Weyu Machinery Co., Ltd; Saint Gobain Abrasives GmbH</x:v>
      </x:c>
    </x:row>
    <x:row r="89">
      <x:c r="A89" s="11" t="str">
        <x:v>EMAG SALACH GMBH MERKEZİ ALMANYA İST. MERK.ŞUBESİ</x:v>
      </x:c>
      <x:c r="B89" s="11" t="str">
        <x:v>https://www.emag.com</x:v>
      </x:c>
      <x:c r="C89" s="11"/>
      <x:c r="D89" s="11" t="str">
        <x:v>‎+90 532 767 15 50</x:v>
      </x:c>
      <x:c r="E89" s="11" t="str">
        <x:v>KISMI</x:v>
      </x:c>
      <x:c r="F89" s="11" t="str">
        <x:v>MANUEL WEB DOĞRULAMA</x:v>
      </x:c>
      <x:c r="G89" s="11" t="str">
        <x:v>manual</x:v>
      </x:c>
      <x:c r="H89" s="11"/>
      <x:c r="I89" s="11" t="str">
        <x:v>MANUEL_ESLESTI</x:v>
      </x:c>
      <x:c r="J89" s="11" t="str">
        <x:v>‎+90 532 767 15 50</x:v>
      </x:c>
      <x:c r="K89" s="12" t="str">
        <x:v>Resmî site üzerindeki ayırt edici marka/ticari unvan, Türkiye adresi veya fuar telefon eşleşmesiyle kimlik doğrulandı. İletişim yalnız doğrulanan resmî siteden alındı. Kimlik kanıtı: https://www.emag.com/contact/locations/</x:v>
      </x:c>
      <x:c r="L89" s="12"/>
      <x:c r="M89" s="12" t="str">
        <x:v>https://www.emag.com/contact/locations/</x:v>
      </x:c>
      <x:c r="N89" s="12" t="str">
        <x:v>https://www.maktekfuari.com/brand/emag-salach-gmbh-merkezi-almanya-ist-merksubesi</x:v>
      </x:c>
      <x:c r="O89" s="11" t="str">
        <x:v>5</x:v>
      </x:c>
      <x:c r="P89" s="11" t="str">
        <x:v>507</x:v>
      </x:c>
      <x:c r="Q89" s="12"/>
      <x:c r="R89" s="12"/>
    </x:row>
    <x:row r="90">
      <x:c r="A90" s="3" t="str">
        <x:v>Enar Makina &amp; Metal San ve Tic.Ltd.Şti Temsilci Firma</x:v>
      </x:c>
      <x:c r="B90" s="3" t="str">
        <x:v>http://www.enarmakina.com</x:v>
      </x:c>
      <x:c r="C90" s="3" t="str">
        <x:v>info@enarmakina.com</x:v>
      </x:c>
      <x:c r="D90" s="3" t="str">
        <x:v>‎0212 475 32 72</x:v>
      </x:c>
      <x:c r="E90" s="3" t="str">
        <x:v>TAM</x:v>
      </x:c>
      <x:c r="F90" s="3" t="str">
        <x:v>SİSTEM</x:v>
      </x:c>
      <x:c r="G90" s="3" t="str">
        <x:v>medium</x:v>
      </x:c>
      <x:c r="H90" s="3" t="str">
        <x:v>79</x:v>
      </x:c>
      <x:c r="I90" s="3" t="str">
        <x:v>FARKLI_RESMI_SITE_ONCELIKLI</x:v>
      </x:c>
      <x:c r="J90" s="3" t="str">
        <x:v>+212212 475 32 72</x:v>
      </x:c>
      <x:c r="K90" s="8"/>
      <x:c r="L90" s="8" t="str">
        <x:v>http://www.enarmakina.com/tr/hakkimizda/</x:v>
      </x:c>
      <x:c r="M90" s="8" t="str">
        <x:v>http://www.enarmakina.com</x:v>
      </x:c>
      <x:c r="N90" s="8" t="str">
        <x:v>https://www.maktekfuari.com/brand/enar-makina-metal-san-ve-ticltdsti</x:v>
      </x:c>
      <x:c r="O90" s="3" t="str">
        <x:v>6</x:v>
      </x:c>
      <x:c r="P90" s="3" t="str">
        <x:v>632</x:v>
      </x:c>
      <x:c r="Q90" s="8"/>
      <x:c r="R90" s="8"/>
    </x:row>
    <x:row r="91">
      <x:c r="A91" s="3" t="str">
        <x:v>ENİGMA HIZLI BAĞLANTI SİS. SAN. TİC. LTD. ŞTİ.</x:v>
      </x:c>
      <x:c r="B91" s="3" t="str">
        <x:v>https://www.enigmaclamp.com.tr</x:v>
      </x:c>
      <x:c r="C91" s="3" t="str">
        <x:v>bilgi@enigmaclamp.com.tr</x:v>
      </x:c>
      <x:c r="D91" s="3" t="str">
        <x:v>‎0224 411 06 86</x:v>
      </x:c>
      <x:c r="E91" s="3" t="str">
        <x:v>TAM</x:v>
      </x:c>
      <x:c r="F91" s="3" t="str">
        <x:v>SİSTEM</x:v>
      </x:c>
      <x:c r="G91" s="3" t="str">
        <x:v>high</x:v>
      </x:c>
      <x:c r="H91" s="3" t="str">
        <x:v>90</x:v>
      </x:c>
      <x:c r="I91" s="3" t="str">
        <x:v>FARKLI_RESMI_SITE_ONCELIKLI</x:v>
      </x:c>
      <x:c r="J91" s="3" t="str">
        <x:v>‎+90 542 101 26 01</x:v>
      </x:c>
      <x:c r="K91" s="8"/>
      <x:c r="L91" s="8" t="str">
        <x:v>https://www.enigmaclamp.com.tr/tr/iletisim.html</x:v>
      </x:c>
      <x:c r="M91" s="8" t="str">
        <x:v>https://www.enigmaclamp.com.tr</x:v>
      </x:c>
      <x:c r="N91" s="8" t="str">
        <x:v>https://www.maktekfuari.com/brand/enigma-hizli-baglanti-sis-san-tic-ltd-sti</x:v>
      </x:c>
      <x:c r="O91" s="3" t="str">
        <x:v>11</x:v>
      </x:c>
      <x:c r="P91" s="3" t="str">
        <x:v>1142</x:v>
      </x:c>
      <x:c r="Q91" s="8" t="str">
        <x:v>ENİGMA CLAMP</x:v>
      </x:c>
      <x:c r="R91" s="8" t="str">
        <x:v>ENİGMA HIZLI BAĞLANTI SİSTEMLERİ SAN TİC LTD ŞTİ</x:v>
      </x:c>
    </x:row>
    <x:row r="92">
      <x:c r="A92" s="3" t="str">
        <x:v>ENİGMA HIZLI BAĞLANTI SİSTEMLERİ SAN TİC LTD ŞTİ Temsilci Firma</x:v>
      </x:c>
      <x:c r="B92" s="3" t="str">
        <x:v>https://www.enigmaclamp.com.tr</x:v>
      </x:c>
      <x:c r="C92" s="3" t="str">
        <x:v>bilgi@enigmaclamp.com.tr</x:v>
      </x:c>
      <x:c r="D92" s="3" t="str">
        <x:v>‎0224 411 06 86</x:v>
      </x:c>
      <x:c r="E92" s="3" t="str">
        <x:v>TAM</x:v>
      </x:c>
      <x:c r="F92" s="3" t="str">
        <x:v>SİSTEM</x:v>
      </x:c>
      <x:c r="G92" s="3" t="str">
        <x:v>high</x:v>
      </x:c>
      <x:c r="H92" s="3" t="str">
        <x:v>100</x:v>
      </x:c>
      <x:c r="I92" s="3" t="str">
        <x:v>ESLESTI</x:v>
      </x:c>
      <x:c r="J92" s="3" t="str">
        <x:v>‎+90 542 101 26 02</x:v>
      </x:c>
      <x:c r="K92" s="8"/>
      <x:c r="L92" s="8" t="str">
        <x:v>https://www.enigmaclamp.com.tr/tr/iletisim.html</x:v>
      </x:c>
      <x:c r="M92" s="8" t="str">
        <x:v>https://www.enigmaclamp.com.tr</x:v>
      </x:c>
      <x:c r="N92" s="8" t="str">
        <x:v>https://www.maktekfuari.com/brand/enigma-hizli-baglanti-sistemleri-san-tic-ltd-sti</x:v>
      </x:c>
      <x:c r="O92" s="3" t="str">
        <x:v>11</x:v>
      </x:c>
      <x:c r="P92" s="3" t="str">
        <x:v>1142</x:v>
      </x:c>
      <x:c r="Q92" s="8"/>
      <x:c r="R92" s="8"/>
    </x:row>
    <x:row r="93">
      <x:c r="A93" s="3" t="str">
        <x:v>ENKAR İNŞ. TAAH. VE TİC. LTD. ŞTİ.</x:v>
      </x:c>
      <x:c r="B93" s="3" t="str">
        <x:v>http://www.enkar.com.tr</x:v>
      </x:c>
      <x:c r="C93" s="3" t="str">
        <x:v>info@enkar.com.tr</x:v>
      </x:c>
      <x:c r="D93" s="3" t="str">
        <x:v>‎0312 354 05 01</x:v>
      </x:c>
      <x:c r="E93" s="3" t="str">
        <x:v>TAM</x:v>
      </x:c>
      <x:c r="F93" s="3" t="str">
        <x:v>SİSTEM</x:v>
      </x:c>
      <x:c r="G93" s="3" t="str">
        <x:v>medium</x:v>
      </x:c>
      <x:c r="H93" s="3" t="str">
        <x:v>87</x:v>
      </x:c>
      <x:c r="I93" s="3" t="str">
        <x:v>ESLESTI</x:v>
      </x:c>
      <x:c r="J93" s="3" t="str">
        <x:v>‎+90 312 354 05 01</x:v>
      </x:c>
      <x:c r="K93" s="8"/>
      <x:c r="L93" s="8" t="str">
        <x:v>http://www.enkar.com.tr</x:v>
      </x:c>
      <x:c r="M93" s="8" t="str">
        <x:v>http://www.enkar.com.tr</x:v>
      </x:c>
      <x:c r="N93" s="8" t="str">
        <x:v>https://www.maktekfuari.com/brand/enkar-ins-taah-ve-tic-ltd-sti</x:v>
      </x:c>
      <x:c r="O93" s="3" t="str">
        <x:v>6</x:v>
      </x:c>
      <x:c r="P93" s="3" t="str">
        <x:v>610</x:v>
      </x:c>
      <x:c r="Q93" s="8"/>
      <x:c r="R93" s="8" t="str">
        <x:v>ETL FLUID EXPERTS LTD (CARDEV); DORMATEC BV</x:v>
      </x:c>
    </x:row>
    <x:row r="94">
      <x:c r="A94" s="3" t="str">
        <x:v>ENOX MAKİNA SAN .TİC.AŞ.</x:v>
      </x:c>
      <x:c r="B94" s="3" t="str">
        <x:v>https://enoxmakina.com</x:v>
      </x:c>
      <x:c r="C94" s="3" t="str">
        <x:v>info@enoxmakina.com</x:v>
      </x:c>
      <x:c r="D94" s="3" t="str">
        <x:v>‎0216 515 48 39</x:v>
      </x:c>
      <x:c r="E94" s="3" t="str">
        <x:v>TAM</x:v>
      </x:c>
      <x:c r="F94" s="3" t="str">
        <x:v>SİSTEM</x:v>
      </x:c>
      <x:c r="G94" s="3" t="str">
        <x:v>medium</x:v>
      </x:c>
      <x:c r="H94" s="3" t="str">
        <x:v>85</x:v>
      </x:c>
      <x:c r="I94" s="3" t="str">
        <x:v>FARKLI_RESMI_SITE_ONCELIKLI</x:v>
      </x:c>
      <x:c r="J94" s="3" t="str">
        <x:v>‎+90 532 605 01 08</x:v>
      </x:c>
      <x:c r="K94" s="8"/>
      <x:c r="L94" s="8" t="str">
        <x:v>https://enoxmakina.com</x:v>
      </x:c>
      <x:c r="M94" s="8" t="str">
        <x:v>https://enoxmakina.com</x:v>
      </x:c>
      <x:c r="N94" s="8" t="str">
        <x:v>https://www.maktekfuari.com/brand/enox-makina-san-ticas</x:v>
      </x:c>
      <x:c r="O94" s="3" t="str">
        <x:v>12</x:v>
      </x:c>
      <x:c r="P94" s="3" t="str">
        <x:v>1237</x:v>
      </x:c>
      <x:c r="Q94" s="8" t="str">
        <x:v>VOLLZER AND KLEMENS</x:v>
      </x:c>
      <x:c r="R94" s="8"/>
    </x:row>
    <x:row r="95">
      <x:c r="A95" s="11" t="str">
        <x:v>EPSİLON CNC MAKİNA SAN. VE TİC. A.Ş.</x:v>
      </x:c>
      <x:c r="B95" s="11" t="str">
        <x:v>https://www.epsiloncnc.com</x:v>
      </x:c>
      <x:c r="C95" s="11"/>
      <x:c r="D95" s="11" t="str">
        <x:v>‎+90 216 415 44 55</x:v>
      </x:c>
      <x:c r="E95" s="11" t="str">
        <x:v>KISMI</x:v>
      </x:c>
      <x:c r="F95" s="11" t="str">
        <x:v>MANUEL WEB DOĞRULAMA</x:v>
      </x:c>
      <x:c r="G95" s="11" t="str">
        <x:v>manual</x:v>
      </x:c>
      <x:c r="H95" s="11"/>
      <x:c r="I95" s="11" t="str">
        <x:v>MANUEL_ESLESTI</x:v>
      </x:c>
      <x:c r="J95" s="11" t="str">
        <x:v>‎+90 216 415 44 55</x:v>
      </x:c>
      <x:c r="K95" s="12" t="str">
        <x:v>Resmî site üzerindeki ayırt edici marka/ticari unvan, Türkiye adresi veya fuar telefon eşleşmesiyle kimlik doğrulandı. İletişim yalnız doğrulanan resmî siteden alındı. Kimlik kanıtı: https://epsiloncnc.com/</x:v>
      </x:c>
      <x:c r="L95" s="12"/>
      <x:c r="M95" s="12" t="str">
        <x:v>https://epsiloncnc.com/</x:v>
      </x:c>
      <x:c r="N95" s="12" t="str">
        <x:v>https://www.maktekfuari.com/brand/epsilon-cnc-makina-san-ve-tic-as</x:v>
      </x:c>
      <x:c r="O95" s="11" t="str">
        <x:v>12</x:v>
      </x:c>
      <x:c r="P95" s="11" t="str">
        <x:v>1229</x:v>
      </x:c>
      <x:c r="Q95" s="12"/>
      <x:c r="R95" s="12" t="str">
        <x:v>L.KELLENBERGER &amp; Co. AG</x:v>
      </x:c>
    </x:row>
    <x:row r="96">
      <x:c r="A96" s="3" t="str">
        <x:v>ER-EL MAKİNA YEDEK PARÇA İML SAN TİC LTD ŞTİ</x:v>
      </x:c>
      <x:c r="B96" s="3" t="str">
        <x:v>https://www.er-el.com.tr</x:v>
      </x:c>
      <x:c r="C96" s="3" t="str">
        <x:v>info@er-el.com.tr</x:v>
      </x:c>
      <x:c r="D96" s="3" t="str">
        <x:v>‎0262 502 11 60</x:v>
      </x:c>
      <x:c r="E96" s="3" t="str">
        <x:v>TAM</x:v>
      </x:c>
      <x:c r="F96" s="3" t="str">
        <x:v>SİSTEM</x:v>
      </x:c>
      <x:c r="G96" s="3" t="str">
        <x:v>high</x:v>
      </x:c>
      <x:c r="H96" s="3" t="str">
        <x:v>100</x:v>
      </x:c>
      <x:c r="I96" s="3" t="str">
        <x:v>ESLESTI</x:v>
      </x:c>
      <x:c r="J96" s="3" t="str">
        <x:v>‎+90 262 502 11 60</x:v>
      </x:c>
      <x:c r="K96" s="8"/>
      <x:c r="L96" s="8" t="str">
        <x:v>https://www.er-el.com.tr</x:v>
      </x:c>
      <x:c r="M96" s="8" t="str">
        <x:v>https://www.er-el.com.tr</x:v>
      </x:c>
      <x:c r="N96" s="8" t="str">
        <x:v>https://www.maktekfuari.com/brand/er-el-makina-yedek-parca-iml-san-tic-ltd-sti</x:v>
      </x:c>
      <x:c r="O96" s="3" t="str">
        <x:v>11</x:v>
      </x:c>
      <x:c r="P96" s="3" t="str">
        <x:v>1150</x:v>
      </x:c>
      <x:c r="Q96" s="8" t="str">
        <x:v>MİKSAN</x:v>
      </x:c>
      <x:c r="R96" s="8" t="str">
        <x:v>Zero Clamp GmbH; HVR MAGNETİCS; IMAO CLAMP</x:v>
      </x:c>
    </x:row>
    <x:row r="97">
      <x:c r="A97" s="3" t="str">
        <x:v>ER-HA MÜHENDİSLİK MAK.SAN. İML. VE TİC.LTD. ŞTİ.</x:v>
      </x:c>
      <x:c r="B97" s="3" t="str">
        <x:v>https://pmmanipulators.com</x:v>
      </x:c>
      <x:c r="C97" s="3" t="str">
        <x:v>erha@erhaengineering.com</x:v>
      </x:c>
      <x:c r="D97" s="3" t="str">
        <x:v>‎0216 466 31 35</x:v>
      </x:c>
      <x:c r="E97" s="3" t="str">
        <x:v>TAM</x:v>
      </x:c>
      <x:c r="F97" s="3" t="str">
        <x:v>SİSTEM</x:v>
      </x:c>
      <x:c r="G97" s="3" t="str">
        <x:v>high</x:v>
      </x:c>
      <x:c r="H97" s="3" t="str">
        <x:v>95</x:v>
      </x:c>
      <x:c r="I97" s="3" t="str">
        <x:v>ESLESTI</x:v>
      </x:c>
      <x:c r="J97" s="3" t="str">
        <x:v>‎+90 216 466 31 35</x:v>
      </x:c>
      <x:c r="K97" s="8"/>
      <x:c r="L97" s="8" t="str">
        <x:v>https://pmmanipulators.com/tr/iletisim</x:v>
      </x:c>
      <x:c r="M97" s="8" t="str">
        <x:v>https://pmmanipulators.com</x:v>
      </x:c>
      <x:c r="N97" s="8" t="str">
        <x:v>https://www.maktekfuari.com/brand/er-ha-muhendislik-maksan-iml-ve-ticltd-sti</x:v>
      </x:c>
      <x:c r="O97" s="3" t="str">
        <x:v>6</x:v>
      </x:c>
      <x:c r="P97" s="3" t="str">
        <x:v>615</x:v>
      </x:c>
      <x:c r="Q97" s="8" t="str">
        <x:v>PM MANIPULATORS</x:v>
      </x:c>
      <x:c r="R97" s="8"/>
    </x:row>
    <x:row r="98">
      <x:c r="A98" s="3" t="str">
        <x:v>ERBEND MAKİNA SANAYİ VE TİCARET A. Ş.</x:v>
      </x:c>
      <x:c r="B98" s="3" t="str">
        <x:v>https://www.erbend.com</x:v>
      </x:c>
      <x:c r="C98" s="3" t="str">
        <x:v>info@erbend.com</x:v>
      </x:c>
      <x:c r="D98" s="3" t="str">
        <x:v>‎0224 441 73 50</x:v>
      </x:c>
      <x:c r="E98" s="3" t="str">
        <x:v>TAM</x:v>
      </x:c>
      <x:c r="F98" s="3" t="str">
        <x:v>SİSTEM</x:v>
      </x:c>
      <x:c r="G98" s="3" t="str">
        <x:v>medium</x:v>
      </x:c>
      <x:c r="H98" s="3" t="str">
        <x:v>87</x:v>
      </x:c>
      <x:c r="I98" s="3" t="str">
        <x:v>ESLESTI</x:v>
      </x:c>
      <x:c r="J98" s="3" t="str">
        <x:v>‎+90 224 441 73 50</x:v>
      </x:c>
      <x:c r="K98" s="8"/>
      <x:c r="L98" s="8" t="str">
        <x:v>https://www.erbend.com</x:v>
      </x:c>
      <x:c r="M98" s="8" t="str">
        <x:v>https://www.erbend.com</x:v>
      </x:c>
      <x:c r="N98" s="8" t="str">
        <x:v>https://www.maktekfuari.com/brand/erbend-makina-sanayi-ve-ticaret-a-s</x:v>
      </x:c>
      <x:c r="O98" s="3" t="str">
        <x:v>3</x:v>
      </x:c>
      <x:c r="P98" s="3" t="str">
        <x:v>315A</x:v>
      </x:c>
      <x:c r="Q98" s="8"/>
      <x:c r="R98" s="8"/>
    </x:row>
    <x:row r="99">
      <x:c r="A99" s="3" t="str">
        <x:v>ERBİLEKLER METAL İŞLEME ÜRÜNLERİ SAN. VE TİC. LTD. ŞTİ.</x:v>
      </x:c>
      <x:c r="B99" s="3" t="str">
        <x:v>https://erbilekler.com</x:v>
      </x:c>
      <x:c r="C99" s="3" t="str">
        <x:v>info@erbilekler.com</x:v>
      </x:c>
      <x:c r="D99" s="3" t="str">
        <x:v>‎0216 364 54 45</x:v>
      </x:c>
      <x:c r="E99" s="3" t="str">
        <x:v>TAM</x:v>
      </x:c>
      <x:c r="F99" s="3" t="str">
        <x:v>SİSTEM</x:v>
      </x:c>
      <x:c r="G99" s="3" t="str">
        <x:v>high</x:v>
      </x:c>
      <x:c r="H99" s="3" t="str">
        <x:v>100</x:v>
      </x:c>
      <x:c r="I99" s="3" t="str">
        <x:v>ESLESTI</x:v>
      </x:c>
      <x:c r="J99" s="3" t="str">
        <x:v>‎+90 216 314 34 68</x:v>
      </x:c>
      <x:c r="K99" s="8"/>
      <x:c r="L99" s="8" t="str">
        <x:v>https://erbilekler.com</x:v>
      </x:c>
      <x:c r="M99" s="8" t="str">
        <x:v>https://erbilekler.com/iletisim/</x:v>
      </x:c>
      <x:c r="N99" s="8" t="str">
        <x:v>https://www.maktekfuari.com/brand/erbilekler-metal-isleme-urunleri-san-ve-tic-ltd-sti</x:v>
      </x:c>
      <x:c r="O99" s="3" t="str">
        <x:v>11</x:v>
      </x:c>
      <x:c r="P99" s="3" t="str">
        <x:v>1101A</x:v>
      </x:c>
      <x:c r="Q99" s="8" t="str">
        <x:v>Euroloy Carbide Tools</x:v>
      </x:c>
      <x:c r="R99" s="8" t="str">
        <x:v>Euroloy Carbide Tools</x:v>
      </x:c>
    </x:row>
    <x:row r="100">
      <x:c r="A100" s="11" t="str">
        <x:v>ERDAL ÖZKAN MAKİNA MÜH. GIDA İNŞ. İM. İHR. İTH. A.Ş.</x:v>
      </x:c>
      <x:c r="B100" s="11" t="str">
        <x:v>https://www.erdcrane.com</x:v>
      </x:c>
      <x:c r="C100" s="11" t="str">
        <x:v>info@erdalozkanmakina.com</x:v>
      </x:c>
      <x:c r="D100" s="11" t="str">
        <x:v>‎+90 364 234 46 80</x:v>
      </x:c>
      <x:c r="E100" s="11" t="str">
        <x:v>TAM</x:v>
      </x:c>
      <x:c r="F100" s="11" t="str">
        <x:v>MANUEL WEB DOĞRULAMA</x:v>
      </x:c>
      <x:c r="G100" s="11" t="str">
        <x:v>manual</x:v>
      </x:c>
      <x:c r="H100" s="11"/>
      <x:c r="I100" s="11" t="str">
        <x:v>MANUEL_ESLESTI</x:v>
      </x:c>
      <x:c r="J100" s="11" t="str">
        <x:v>‎+90 364 234 46 80</x:v>
      </x:c>
      <x:c r="K100" s="12" t="str">
        <x:v>Resmî site üzerindeki ayırt edici marka/ticari unvan, Türkiye adresi veya fuar telefon eşleşmesiyle kimlik doğrulandı. İletişim yalnız doğrulanan resmî siteden alındı. Kimlik kanıtı: https://www.erdcrane.com/hakkimizda/</x:v>
      </x:c>
      <x:c r="L100" s="12" t="str">
        <x:v>https://www.erdcrane.com/</x:v>
      </x:c>
      <x:c r="M100" s="12" t="str">
        <x:v>https://www.erdcrane.com/</x:v>
      </x:c>
      <x:c r="N100" s="12" t="str">
        <x:v>https://www.maktekfuari.com/brand/erdal-ozkan-makina-muh-gida-ins-im-ihr-ith-as</x:v>
      </x:c>
      <x:c r="O100" s="11" t="str">
        <x:v>12A</x:v>
      </x:c>
      <x:c r="P100" s="11" t="str">
        <x:v>31</x:v>
      </x:c>
      <x:c r="Q100" s="12" t="str">
        <x:v>ERDCRANE</x:v>
      </x:c>
      <x:c r="R100" s="12"/>
    </x:row>
    <x:row r="101">
      <x:c r="A101" s="3" t="str">
        <x:v>ERDE DIŞ TİCARET LTD ŞTİ</x:v>
      </x:c>
      <x:c r="B101" s="3" t="str">
        <x:v>https://www.erdeticaret.com.tr</x:v>
      </x:c>
      <x:c r="C101" s="3" t="str">
        <x:v>erde@erdeticaret.com.tr</x:v>
      </x:c>
      <x:c r="D101" s="3" t="str">
        <x:v>‎0216 330 24 00</x:v>
      </x:c>
      <x:c r="E101" s="3" t="str">
        <x:v>TAM</x:v>
      </x:c>
      <x:c r="F101" s="3" t="str">
        <x:v>SİSTEM</x:v>
      </x:c>
      <x:c r="G101" s="3" t="str">
        <x:v>medium</x:v>
      </x:c>
      <x:c r="H101" s="3" t="str">
        <x:v>85</x:v>
      </x:c>
      <x:c r="I101" s="3" t="str">
        <x:v>ESLESTI</x:v>
      </x:c>
      <x:c r="J101" s="3" t="str">
        <x:v>‎+90 216 330 24 00</x:v>
      </x:c>
      <x:c r="K101" s="8"/>
      <x:c r="L101" s="8" t="str">
        <x:v>https://www.erdeticaret.com.tr</x:v>
      </x:c>
      <x:c r="M101" s="8" t="str">
        <x:v>https://www.erdeticaret.com.tr</x:v>
      </x:c>
      <x:c r="N101" s="8" t="str">
        <x:v>https://www.maktekfuari.com/brand/erde-dis-ticaret-ltd-sti</x:v>
      </x:c>
      <x:c r="O101" s="3" t="str">
        <x:v>11</x:v>
      </x:c>
      <x:c r="P101" s="3" t="str">
        <x:v>1129</x:v>
      </x:c>
      <x:c r="Q101" s="8"/>
      <x:c r="R101" s="8"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row>
    <x:row r="102">
      <x:c r="A102" s="11" t="str">
        <x:v>Erde Dış Ticaret Ltd. Şti. Temsilci Firma</x:v>
      </x:c>
      <x:c r="B102" s="11" t="str">
        <x:v>https://www.erdeticaret.com.tr/</x:v>
      </x:c>
      <x:c r="C102" s="11" t="str">
        <x:v>erde@erdeticaret.com.tr</x:v>
      </x:c>
      <x:c r="D102" s="11" t="str">
        <x:v>‎+90 216 330 24 00</x:v>
      </x:c>
      <x:c r="E102" s="11" t="str">
        <x:v>TAM</x:v>
      </x:c>
      <x:c r="F102" s="11" t="str">
        <x:v>MANUEL WEB DOĞRULAMA</x:v>
      </x:c>
      <x:c r="G102" s="11" t="str">
        <x:v>manual</x:v>
      </x:c>
      <x:c r="H102" s="11"/>
      <x:c r="I102" s="11" t="str">
        <x:v>MANUEL_ESLESTI</x:v>
      </x:c>
      <x:c r="J102" s="11" t="str">
        <x:v>‎+90 216 330 24 00</x:v>
      </x:c>
      <x:c r="K102" s="12" t="str">
        <x:v>Resmî site üzerindeki ayırt edici marka/ticari unvan, Türkiye adresi veya fuar telefon eşleşmesiyle kimlik doğrulandı. İletişim yalnız doğrulanan resmî siteden alındı. Kimlik kanıtı: https://www.erdeticaret.com.tr/hakkimizda</x:v>
      </x:c>
      <x:c r="L102" s="12" t="str">
        <x:v>https://www.erdeticaret.com.tr/</x:v>
      </x:c>
      <x:c r="M102" s="12" t="str">
        <x:v>https://www.erdeticaret.com.tr/</x:v>
      </x:c>
      <x:c r="N102" s="12" t="str">
        <x:v>https://www.maktekfuari.com/brand/erde-dis-ticaret-ltd-sti-1</x:v>
      </x:c>
      <x:c r="O102" s="11" t="str">
        <x:v>11</x:v>
      </x:c>
      <x:c r="P102" s="11" t="str">
        <x:v>1101C</x:v>
      </x:c>
      <x:c r="Q102" s="12"/>
      <x:c r="R102" s="12"/>
    </x:row>
    <x:row r="103">
      <x:c r="A103" s="3" t="str">
        <x:v>ERFAB İÇ VE DIŞ TİCARET A. Ş.</x:v>
      </x:c>
      <x:c r="B103" s="3" t="str">
        <x:v>https://www.erfab.com</x:v>
      </x:c>
      <x:c r="C103" s="3" t="str">
        <x:v>info@erfab.com</x:v>
      </x:c>
      <x:c r="D103" s="3" t="str">
        <x:v>‎0224 268 01 01</x:v>
      </x:c>
      <x:c r="E103" s="3" t="str">
        <x:v>TAM</x:v>
      </x:c>
      <x:c r="F103" s="3" t="str">
        <x:v>SİSTEM</x:v>
      </x:c>
      <x:c r="G103" s="3" t="str">
        <x:v>high</x:v>
      </x:c>
      <x:c r="H103" s="3" t="str">
        <x:v>100</x:v>
      </x:c>
      <x:c r="I103" s="3" t="str">
        <x:v>FUAR_REFERANSI_YOK</x:v>
      </x:c>
      <x:c r="J103" s="3"/>
      <x:c r="K103" s="8"/>
      <x:c r="L103" s="8" t="str">
        <x:v>https://www.erfab.com</x:v>
      </x:c>
      <x:c r="M103" s="8" t="str">
        <x:v>https://www.erfab.com</x:v>
      </x:c>
      <x:c r="N103" s="8" t="str">
        <x:v>https://www.maktekfuari.com/brand/erfab-ic-ve-dis-ticaret-a-s</x:v>
      </x:c>
      <x:c r="O103" s="3" t="str">
        <x:v>11A</x:v>
      </x:c>
      <x:c r="P103" s="3" t="str">
        <x:v>17</x:v>
      </x:c>
      <x:c r="Q103" s="8"/>
      <x:c r="R103" s="8"/>
    </x:row>
    <x:row r="104">
      <x:c r="A104" s="3" t="str">
        <x:v>ERHAN TEKNİK HIRDAVAT SAN. TİC. LTD ŞTİ</x:v>
      </x:c>
      <x:c r="B104" s="3" t="str">
        <x:v>https://erhanteknik.com.tr</x:v>
      </x:c>
      <x:c r="C104" s="3" t="str">
        <x:v>info@erhanteknik.com.tr</x:v>
      </x:c>
      <x:c r="D104" s="3" t="str">
        <x:v>‎0212 674 15 40</x:v>
      </x:c>
      <x:c r="E104" s="3" t="str">
        <x:v>TAM</x:v>
      </x:c>
      <x:c r="F104" s="3" t="str">
        <x:v>SİSTEM</x:v>
      </x:c>
      <x:c r="G104" s="3" t="str">
        <x:v>high</x:v>
      </x:c>
      <x:c r="H104" s="3" t="str">
        <x:v>100</x:v>
      </x:c>
      <x:c r="I104" s="3" t="str">
        <x:v>ESLESTI</x:v>
      </x:c>
      <x:c r="J104" s="3" t="str">
        <x:v>‎+90 212 674 15 40</x:v>
      </x:c>
      <x:c r="K104" s="8"/>
      <x:c r="L104" s="8" t="str">
        <x:v>https://erhanteknik.com.tr</x:v>
      </x:c>
      <x:c r="M104" s="8" t="str">
        <x:v>https://erhanteknik.com.tr</x:v>
      </x:c>
      <x:c r="N104" s="8" t="str">
        <x:v>https://www.maktekfuari.com/brand/erhan-teknik-hirdavat-san-tic-ltd-sti</x:v>
      </x:c>
      <x:c r="O104" s="3" t="str">
        <x:v>11</x:v>
      </x:c>
      <x:c r="P104" s="3" t="str">
        <x:v>1163</x:v>
      </x:c>
      <x:c r="Q104" s="8" t="str">
        <x:v>watano</x:v>
      </x:c>
      <x:c r="R104" s="8" t="str">
        <x:v>BISON BİAL S.A</x:v>
      </x:c>
    </x:row>
    <x:row r="105">
      <x:c r="A105" s="3" t="str">
        <x:v>ERİŞ MAKİNA SANAYİ VE TİCARET A.Ş.</x:v>
      </x:c>
      <x:c r="B105" s="3" t="str">
        <x:v>https://www.erismakina.com.tr</x:v>
      </x:c>
      <x:c r="C105" s="3" t="str">
        <x:v>info@erismakina.com.tr</x:v>
      </x:c>
      <x:c r="D105" s="3" t="str">
        <x:v>‎0332 342 01 23</x:v>
      </x:c>
      <x:c r="E105" s="3" t="str">
        <x:v>TAM</x:v>
      </x:c>
      <x:c r="F105" s="3" t="str">
        <x:v>SİSTEM</x:v>
      </x:c>
      <x:c r="G105" s="3" t="str">
        <x:v>high</x:v>
      </x:c>
      <x:c r="H105" s="3" t="str">
        <x:v>100</x:v>
      </x:c>
      <x:c r="I105" s="3" t="str">
        <x:v>FUAR_REFERANSI_YOK</x:v>
      </x:c>
      <x:c r="J105" s="3"/>
      <x:c r="K105" s="8"/>
      <x:c r="L105" s="8" t="str">
        <x:v>https://www.erismakina.com.tr</x:v>
      </x:c>
      <x:c r="M105" s="8" t="str">
        <x:v>https://www.erismakina.com.tr</x:v>
      </x:c>
      <x:c r="N105" s="8" t="str">
        <x:v>https://www.maktekfuari.com/brand/eris-makina-sanayi-ve-ticaret-as</x:v>
      </x:c>
      <x:c r="O105" s="3" t="str">
        <x:v>5</x:v>
      </x:c>
      <x:c r="P105" s="3" t="str">
        <x:v>505</x:v>
      </x:c>
      <x:c r="Q105" s="8"/>
      <x:c r="R105" s="8"/>
    </x:row>
    <x:row r="106">
      <x:c r="A106" s="11" t="str">
        <x:v>ERKAN CNC TEKNOLOJİLERİ A.Ş.</x:v>
      </x:c>
      <x:c r="B106" s="11" t="str">
        <x:v>https://www.erkancnc.com/</x:v>
      </x:c>
      <x:c r="C106" s="11"/>
      <x:c r="D106" s="11" t="str">
        <x:v>‎+90 216 420 36 39</x:v>
      </x:c>
      <x:c r="E106" s="11" t="str">
        <x:v>KISMI</x:v>
      </x:c>
      <x:c r="F106" s="11" t="str">
        <x:v>MANUEL WEB DOĞRULAMA</x:v>
      </x:c>
      <x:c r="G106" s="11" t="str">
        <x:v>manual</x:v>
      </x:c>
      <x:c r="H106" s="11"/>
      <x:c r="I106" s="11" t="str">
        <x:v>MANUEL_ESLESTI</x:v>
      </x:c>
      <x:c r="J106" s="11" t="str">
        <x:v>‎+90 216 420 36 39</x:v>
      </x:c>
      <x:c r="K106" s="12" t="str">
        <x:v>Resmî site üzerindeki ayırt edici marka/ticari unvan, Türkiye adresi veya fuar telefon eşleşmesiyle kimlik doğrulandı. İletişim yalnız doğrulanan resmî siteden alındı. Kimlik kanıtı: https://www.erkancnc.com/</x:v>
      </x:c>
      <x:c r="L106" s="12"/>
      <x:c r="M106" s="12" t="str">
        <x:v>https://www.erkancnc.com/</x:v>
      </x:c>
      <x:c r="N106" s="12" t="str">
        <x:v>https://www.maktekfuari.com/brand/erkan-cnc-teknolojileri-as</x:v>
      </x:c>
      <x:c r="O106" s="11" t="str">
        <x:v>7</x:v>
      </x:c>
      <x:c r="P106" s="11" t="str">
        <x:v>713</x:v>
      </x:c>
      <x:c r="Q106" s="12" t="str">
        <x:v>TTAPEC; Gentiger; Biglia; Leadwell</x:v>
      </x:c>
      <x:c r="R106" s="12"/>
    </x:row>
    <x:row r="107">
      <x:c r="A107" s="11" t="str">
        <x:v>ERKUR MAKİNE İMALAT PLASTİK İÇ VE DIŞ TİC. LTD. ŞTİ.</x:v>
      </x:c>
      <x:c r="B107" s="11" t="str">
        <x:v>https://www.erkur.com/</x:v>
      </x:c>
      <x:c r="C107" s="11" t="str">
        <x:v>info@erkur.com</x:v>
      </x:c>
      <x:c r="D107" s="11" t="str">
        <x:v>‎+90 212 655 00 72</x:v>
      </x:c>
      <x:c r="E107" s="11" t="str">
        <x:v>TAM</x:v>
      </x:c>
      <x:c r="F107" s="11" t="str">
        <x:v>MANUEL WEB DOĞRULAMA</x:v>
      </x:c>
      <x:c r="G107" s="11" t="str">
        <x:v>manual</x:v>
      </x:c>
      <x:c r="H107" s="11"/>
      <x:c r="I107" s="11" t="str">
        <x:v>FUAR_REFERANSI_YOK</x:v>
      </x:c>
      <x:c r="J107" s="11"/>
      <x:c r="K107" s="12" t="str">
        <x:v>Resmî site üzerindeki ayırt edici marka/ticari unvan, Türkiye adresi veya fuar telefon eşleşmesiyle kimlik doğrulandı. İletişim yalnız doğrulanan resmî siteden alındı. Kimlik kanıtı: https://thermoform.erkur.com/privacy-policy/</x:v>
      </x:c>
      <x:c r="L107" s="12" t="str">
        <x:v>https://www.erkur.com/</x:v>
      </x:c>
      <x:c r="M107" s="12" t="str">
        <x:v>https://www.erkur.com/</x:v>
      </x:c>
      <x:c r="N107" s="12" t="str">
        <x:v>https://www.maktekfuari.com/brand/erkur-makine-imalat-plastik-ic-ve-dis-tic-ltd-sti</x:v>
      </x:c>
      <x:c r="O107" s="11" t="str">
        <x:v>12A</x:v>
      </x:c>
      <x:c r="P107" s="11" t="str">
        <x:v>50A</x:v>
      </x:c>
      <x:c r="Q107" s="12"/>
      <x:c r="R107" s="12"/>
    </x:row>
    <x:row r="108">
      <x:c r="A108" s="3" t="str">
        <x:v>ERMAKSAN MAKİNA SAN . VE TİC. A. Ş.</x:v>
      </x:c>
      <x:c r="B108" s="3" t="str">
        <x:v>https://www.ermaksan.com.tr</x:v>
      </x:c>
      <x:c r="C108" s="3" t="str">
        <x:v>sales@ermaksan.com.tr</x:v>
      </x:c>
      <x:c r="D108" s="3" t="str">
        <x:v>‎0224 294 75 20</x:v>
      </x:c>
      <x:c r="E108" s="3" t="str">
        <x:v>TAM</x:v>
      </x:c>
      <x:c r="F108" s="3" t="str">
        <x:v>SİSTEM</x:v>
      </x:c>
      <x:c r="G108" s="3" t="str">
        <x:v>high</x:v>
      </x:c>
      <x:c r="H108" s="3" t="str">
        <x:v>100</x:v>
      </x:c>
      <x:c r="I108" s="3" t="str">
        <x:v>ESLESTI</x:v>
      </x:c>
      <x:c r="J108" s="3" t="str">
        <x:v>‎+90 224 294 75 00</x:v>
      </x:c>
      <x:c r="K108" s="8"/>
      <x:c r="L108" s="8" t="str">
        <x:v>https://www.ermaksan.com.tr/tr-TR/iletisim</x:v>
      </x:c>
      <x:c r="M108" s="8" t="str">
        <x:v>https://www.ermaksan.com.tr/tr-TR/iletisim</x:v>
      </x:c>
      <x:c r="N108" s="8" t="str">
        <x:v>https://www.maktekfuari.com/brand/ermaksan-makina-san-ve-tic-a-s</x:v>
      </x:c>
      <x:c r="O108" s="3" t="str">
        <x:v>3</x:v>
      </x:c>
      <x:c r="P108" s="3" t="str">
        <x:v>315B</x:v>
      </x:c>
      <x:c r="Q108" s="8" t="str">
        <x:v>Ermaksan Makine</x:v>
      </x:c>
      <x:c r="R108" s="8"/>
    </x:row>
    <x:row r="109">
      <x:c r="A109" s="3" t="str">
        <x:v>EROĞLU MAKİNA SAN. TİC. A. Ş. HASSAS TUTUCU TAKIM FABRİKASI</x:v>
      </x:c>
      <x:c r="B109" s="3" t="str">
        <x:v>https://www.eroglumakina.com</x:v>
      </x:c>
      <x:c r="C109" s="3" t="str">
        <x:v>info@eroglumakina.com</x:v>
      </x:c>
      <x:c r="D109" s="3" t="str">
        <x:v>‎0224 494 13 93</x:v>
      </x:c>
      <x:c r="E109" s="3" t="str">
        <x:v>TAM</x:v>
      </x:c>
      <x:c r="F109" s="3" t="str">
        <x:v>SİSTEM</x:v>
      </x:c>
      <x:c r="G109" s="3" t="str">
        <x:v>medium</x:v>
      </x:c>
      <x:c r="H109" s="3" t="str">
        <x:v>87</x:v>
      </x:c>
      <x:c r="I109" s="3" t="str">
        <x:v>FARKLI_RESMI_SITE_ONCELIKLI</x:v>
      </x:c>
      <x:c r="J109" s="3" t="str">
        <x:v>+904447288</x:v>
      </x:c>
      <x:c r="K109" s="8"/>
      <x:c r="L109" s="8" t="str">
        <x:v>https://www.eroglumakina.com/tr/hakkimizda</x:v>
      </x:c>
      <x:c r="M109" s="8" t="str">
        <x:v>https://www.eroglumakina.com/tr/iletisim</x:v>
      </x:c>
      <x:c r="N109" s="8" t="str">
        <x:v>https://www.maktekfuari.com/brand/eroglu-makina-san-tic-a-s-hassas-tutucu-takim-fabrikasi</x:v>
      </x:c>
      <x:c r="O109" s="3" t="str">
        <x:v>11</x:v>
      </x:c>
      <x:c r="P109" s="3" t="str">
        <x:v>1128</x:v>
      </x:c>
      <x:c r="Q109" s="8" t="str">
        <x:v>EROĞLU MAKİNA SAN. TİC. A.Ş</x:v>
      </x:c>
      <x:c r="R109" s="8" t="str">
        <x:v>EROGLU Präzisionswerkzeuge GmbH</x:v>
      </x:c>
    </x:row>
    <x:row r="110">
      <x:c r="A110" s="11" t="str">
        <x:v>ETİ BİLGİSAYAR DAN.VE DIŞ TİCARET LTD.ŞTİ.</x:v>
      </x:c>
      <x:c r="B110" s="11" t="str">
        <x:v>https://www.eti.com.tr</x:v>
      </x:c>
      <x:c r="C110" s="11"/>
      <x:c r="D110" s="11" t="str">
        <x:v>‎+90 212 212 98 02</x:v>
      </x:c>
      <x:c r="E110" s="11" t="str">
        <x:v>KISMI</x:v>
      </x:c>
      <x:c r="F110" s="11" t="str">
        <x:v>MANUEL WEB DOĞRULAMA</x:v>
      </x:c>
      <x:c r="G110" s="11" t="str">
        <x:v>manual</x:v>
      </x:c>
      <x:c r="H110" s="11"/>
      <x:c r="I110" s="11" t="str">
        <x:v>MANUEL_ESLESTI</x:v>
      </x:c>
      <x:c r="J110" s="11" t="str">
        <x:v>‎+90 212 212 98 02</x:v>
      </x:c>
      <x:c r="K110" s="12" t="str">
        <x:v>Resmî site üzerindeki ayırt edici marka/ticari unvan, Türkiye adresi veya fuar telefon eşleşmesiyle kimlik doğrulandı. İletişim yalnız doğrulanan resmî siteden alındı. Kimlik kanıtı: https://www.eti.com.tr/home.aspx</x:v>
      </x:c>
      <x:c r="L110" s="12"/>
      <x:c r="M110" s="12" t="str">
        <x:v>https://www.eti.com.tr/home.aspx</x:v>
      </x:c>
      <x:c r="N110" s="12" t="str">
        <x:v>https://www.maktekfuari.com/brand/eti-bilgisayar-danve-dis-ticaret-ltdsti</x:v>
      </x:c>
      <x:c r="O110" s="11" t="str">
        <x:v>12A</x:v>
      </x:c>
      <x:c r="P110" s="11" t="str">
        <x:v>05</x:v>
      </x:c>
      <x:c r="Q110" s="12" t="str">
        <x:v>ZWSOFT</x:v>
      </x:c>
      <x:c r="R110" s="12" t="str">
        <x:v>ZWSOFT</x:v>
      </x:c>
    </x:row>
    <x:row r="111">
      <x:c r="A111" s="11" t="str">
        <x:v>Euroloy Carbide Tools Temsilci Firma</x:v>
      </x:c>
      <x:c r="B111" s="11" t="str">
        <x:v>https://euroloy.com</x:v>
      </x:c>
      <x:c r="C111" s="11" t="str">
        <x:v>info@euroloy.com</x:v>
      </x:c>
      <x:c r="D111" s="11" t="str">
        <x:v>‎+90 850 933 34 08</x:v>
      </x:c>
      <x:c r="E111" s="11" t="str">
        <x:v>TAM</x:v>
      </x:c>
      <x:c r="F111" s="11" t="str">
        <x:v>MANUEL WEB DOĞRULAMA</x:v>
      </x:c>
      <x:c r="G111" s="11" t="str">
        <x:v>manual</x:v>
      </x:c>
      <x:c r="H111" s="11"/>
      <x:c r="I111" s="11" t="str">
        <x:v>FARKLI_RESMI_SITE_ONCELIKLI</x:v>
      </x:c>
      <x:c r="J111" s="11" t="str">
        <x:v>90+902165401234</x:v>
      </x:c>
      <x:c r="K111" s="12" t="str">
        <x:v>Resmî site üzerindeki ayırt edici marka/ticari unvan, Türkiye adresi veya fuar telefon eşleşmesiyle kimlik doğrulandı. İletişim yalnız doğrulanan resmî siteden alındı. Kimlik kanıtı: https://euroloy.com/</x:v>
      </x:c>
      <x:c r="L111" s="12" t="str">
        <x:v>https://euroloy.com/</x:v>
      </x:c>
      <x:c r="M111" s="12" t="str">
        <x:v>https://euroloy.com/</x:v>
      </x:c>
      <x:c r="N111" s="12" t="str">
        <x:v>https://www.maktekfuari.com/brand/euroloy-carbide-tools</x:v>
      </x:c>
      <x:c r="O111" s="11" t="str">
        <x:v>11</x:v>
      </x:c>
      <x:c r="P111" s="11" t="str">
        <x:v>1101A</x:v>
      </x:c>
      <x:c r="Q111" s="12"/>
      <x:c r="R111" s="12"/>
    </x:row>
    <x:row r="112">
      <x:c r="A112" s="3" t="str">
        <x:v>EUROSERVO MOTOR TAMİR HİZMETLERİ SAN VE TİC. A.Ş.</x:v>
      </x:c>
      <x:c r="B112" s="3" t="str">
        <x:v>https://euroservo.com.tr</x:v>
      </x:c>
      <x:c r="C112" s="3" t="str">
        <x:v>info@euroservo.com.tr</x:v>
      </x:c>
      <x:c r="D112" s="3" t="str">
        <x:v>‎0216 365 65 20</x:v>
      </x:c>
      <x:c r="E112" s="3" t="str">
        <x:v>TAM</x:v>
      </x:c>
      <x:c r="F112" s="3" t="str">
        <x:v>SİSTEM</x:v>
      </x:c>
      <x:c r="G112" s="3" t="str">
        <x:v>high</x:v>
      </x:c>
      <x:c r="H112" s="3" t="str">
        <x:v>100</x:v>
      </x:c>
      <x:c r="I112" s="3" t="str">
        <x:v>ESLESTI</x:v>
      </x:c>
      <x:c r="J112" s="3" t="str">
        <x:v>‎+90 531 734 84 72</x:v>
      </x:c>
      <x:c r="K112" s="8"/>
      <x:c r="L112" s="8" t="str">
        <x:v>https://euroservo.com.tr</x:v>
      </x:c>
      <x:c r="M112" s="8" t="str">
        <x:v>https://euroservo.com.tr</x:v>
      </x:c>
      <x:c r="N112" s="8" t="str">
        <x:v>https://www.maktekfuari.com/brand/euroservo-motor-tamir-hizmetleri-san-ve-tic-as</x:v>
      </x:c>
      <x:c r="O112" s="3" t="str">
        <x:v>6</x:v>
      </x:c>
      <x:c r="P112" s="3" t="str">
        <x:v>603</x:v>
      </x:c>
      <x:c r="Q112" s="8"/>
      <x:c r="R112" s="8"/>
    </x:row>
    <x:row r="113">
      <x:c r="A113" s="11" t="str">
        <x:v>FLİO OTOMASYON MAKİNA SAN.TİC.LTD.ŞTİ.</x:v>
      </x:c>
      <x:c r="B113" s="11" t="str">
        <x:v>https://www.flio.com.tr</x:v>
      </x:c>
      <x:c r="C113" s="11" t="str">
        <x:v>info@flio.com.tr</x:v>
      </x:c>
      <x:c r="D113" s="11" t="str">
        <x:v>‎+90 332 501 42 47</x:v>
      </x:c>
      <x:c r="E113" s="11" t="str">
        <x:v>TAM</x:v>
      </x:c>
      <x:c r="F113" s="11" t="str">
        <x:v>MANUEL WEB DOĞRULAMA</x:v>
      </x:c>
      <x:c r="G113" s="11" t="str">
        <x:v>manual</x:v>
      </x:c>
      <x:c r="H113" s="11"/>
      <x:c r="I113" s="11" t="str">
        <x:v>MANUEL_ESLESTI</x:v>
      </x:c>
      <x:c r="J113" s="11" t="str">
        <x:v>‎+90 332 501 42 47</x:v>
      </x:c>
      <x:c r="K113" s="12" t="str">
        <x:v>Resmî site üzerindeki ayırt edici marka/ticari unvan, Türkiye adresi veya fuar telefon eşleşmesiyle kimlik doğrulandı. İletişim yalnız doğrulanan resmî siteden alındı. Kimlik kanıtı: https://www.flio.com.tr/tr/</x:v>
      </x:c>
      <x:c r="L113" s="12" t="str">
        <x:v>https://www.flio.com.tr/tr/</x:v>
      </x:c>
      <x:c r="M113" s="12" t="str">
        <x:v>https://www.flio.com.tr/tr/</x:v>
      </x:c>
      <x:c r="N113" s="12" t="str">
        <x:v>https://www.maktekfuari.com/brand/flio-otomasyon-makina-santicltdsti</x:v>
      </x:c>
      <x:c r="O113" s="11" t="str">
        <x:v>11A</x:v>
      </x:c>
      <x:c r="P113" s="11" t="str">
        <x:v>48</x:v>
      </x:c>
      <x:c r="Q113" s="12"/>
      <x:c r="R113" s="12"/>
    </x:row>
    <x:row r="114">
      <x:c r="A114" s="3" t="str">
        <x:v>FORBA MAKİNA SAN. TİC. LTD. ŞTİ.</x:v>
      </x:c>
      <x:c r="B114" s="3" t="str">
        <x:v>https://forbamakina.com</x:v>
      </x:c>
      <x:c r="C114" s="3" t="str">
        <x:v>info@forbamakina.com</x:v>
      </x:c>
      <x:c r="D114" s="3" t="str">
        <x:v>‎0212 485 00 46</x:v>
      </x:c>
      <x:c r="E114" s="3" t="str">
        <x:v>TAM</x:v>
      </x:c>
      <x:c r="F114" s="3" t="str">
        <x:v>SİSTEM</x:v>
      </x:c>
      <x:c r="G114" s="3" t="str">
        <x:v>high</x:v>
      </x:c>
      <x:c r="H114" s="3" t="str">
        <x:v>100</x:v>
      </x:c>
      <x:c r="I114" s="3" t="str">
        <x:v>ESLESTI</x:v>
      </x:c>
      <x:c r="J114" s="3" t="str">
        <x:v>‎+90 533 621 18 64</x:v>
      </x:c>
      <x:c r="K114" s="8"/>
      <x:c r="L114" s="8" t="str">
        <x:v>https://forbamakina.com</x:v>
      </x:c>
      <x:c r="M114" s="8" t="str">
        <x:v>https://forbamakina.com</x:v>
      </x:c>
      <x:c r="N114" s="8" t="str">
        <x:v>https://www.maktekfuari.com/brand/forba-makina-san-tic-ltd-sti</x:v>
      </x:c>
      <x:c r="O114" s="3" t="str">
        <x:v>1</x:v>
      </x:c>
      <x:c r="P114" s="3" t="str">
        <x:v>117</x:v>
      </x:c>
      <x:c r="Q114" s="8"/>
      <x:c r="R114" s="8"/>
    </x:row>
    <x:row r="115">
      <x:c r="A115" s="3" t="str">
        <x:v>FORM MAKİNE CNC TAKIM TEZG SAN VE TİC LTD ŞTİ</x:v>
      </x:c>
      <x:c r="B115" s="3" t="str">
        <x:v>http://formcnc.com.tr</x:v>
      </x:c>
      <x:c r="C115" s="3" t="str">
        <x:v>form@formcnc.com.tr</x:v>
      </x:c>
      <x:c r="D115" s="3" t="str">
        <x:v>‎0216 527 32 02</x:v>
      </x:c>
      <x:c r="E115" s="3" t="str">
        <x:v>TAM</x:v>
      </x:c>
      <x:c r="F115" s="3" t="str">
        <x:v>SİSTEM</x:v>
      </x:c>
      <x:c r="G115" s="3" t="str">
        <x:v>high</x:v>
      </x:c>
      <x:c r="H115" s="3" t="str">
        <x:v>100</x:v>
      </x:c>
      <x:c r="I115" s="3" t="str">
        <x:v>FUAR_REFERANSI_YOK</x:v>
      </x:c>
      <x:c r="J115" s="3"/>
      <x:c r="K115" s="8"/>
      <x:c r="L115" s="8" t="str">
        <x:v>http://formcnc.com.tr</x:v>
      </x:c>
      <x:c r="M115" s="8" t="str">
        <x:v>http://formcnc.com.tr</x:v>
      </x:c>
      <x:c r="N115" s="8" t="str">
        <x:v>https://www.maktekfuari.com/brand/form-makine-cnc-takim-tezg-san-ve-tic-ltd-sti</x:v>
      </x:c>
      <x:c r="O115" s="3" t="str">
        <x:v>7</x:v>
      </x:c>
      <x:c r="P115" s="3" t="str">
        <x:v>704</x:v>
      </x:c>
      <x:c r="Q115" s="8"/>
      <x:c r="R115" s="8"/>
    </x:row>
    <x:row r="116">
      <x:c r="A116" s="11" t="str">
        <x:v>FORM TEKNİK HIRD.SAN. VE TİC.LTD.ŞTİ.</x:v>
      </x:c>
      <x:c r="B116" s="11" t="str">
        <x:v>http://www.form-teknik.com/</x:v>
      </x:c>
      <x:c r="C116" s="11" t="str">
        <x:v>info@form-teknik.com</x:v>
      </x:c>
      <x:c r="D116" s="11" t="str">
        <x:v>‎+90 212 297 33 97</x:v>
      </x:c>
      <x:c r="E116" s="11" t="str">
        <x:v>TAM</x:v>
      </x:c>
      <x:c r="F116" s="11" t="str">
        <x:v>MANUEL WEB DOĞRULAMA</x:v>
      </x:c>
      <x:c r="G116" s="11" t="str">
        <x:v>manual</x:v>
      </x:c>
      <x:c r="H116" s="11"/>
      <x:c r="I116" s="11" t="str">
        <x:v>FARKLI_RESMI_SITE_ONCELIKLI</x:v>
      </x:c>
      <x:c r="J116" s="11" t="str">
        <x:v>‎+90 532 316 22 65</x:v>
      </x:c>
      <x:c r="K116" s="12" t="str">
        <x:v>Resmî site üzerindeki ayırt edici marka/ticari unvan, Türkiye adresi veya fuar telefon eşleşmesiyle kimlik doğrulandı. İletişim yalnız doğrulanan resmî siteden alındı. Kimlik kanıtı: https://form-teknik.com/iletisim/</x:v>
      </x:c>
      <x:c r="L116" s="12" t="str">
        <x:v>https://form-teknik.com/</x:v>
      </x:c>
      <x:c r="M116" s="12" t="str">
        <x:v>https://form-teknik.com/</x:v>
      </x:c>
      <x:c r="N116" s="12" t="str">
        <x:v>https://www.maktekfuari.com/brand/form-teknik-hirdsan-ve-ticltdsti</x:v>
      </x:c>
      <x:c r="O116" s="11" t="str">
        <x:v>11</x:v>
      </x:c>
      <x:c r="P116" s="11" t="str">
        <x:v>1178</x:v>
      </x:c>
      <x:c r="Q116" s="12" t="str">
        <x:v>POKOLM; MST</x:v>
      </x:c>
      <x:c r="R116" s="12" t="str">
        <x:v>MST Corporation; Pokolm Frästechnik GmbH &amp; Co. KG; HANSONG M&amp;T Co., Ltd.</x:v>
      </x:c>
    </x:row>
    <x:row r="117">
      <x:c r="A117" s="3" t="str">
        <x:v>GELİŞİM ELEKTROMEKANİK LTD. ŞTİ.</x:v>
      </x:c>
      <x:c r="B117" s="3" t="str">
        <x:v>https://www.gelisimmak.com</x:v>
      </x:c>
      <x:c r="C117" s="3" t="str">
        <x:v>info@gelisimmakine.com</x:v>
      </x:c>
      <x:c r="D117" s="3" t="str">
        <x:v>‎0506 026 13 06</x:v>
      </x:c>
      <x:c r="E117" s="3" t="str">
        <x:v>TAM</x:v>
      </x:c>
      <x:c r="F117" s="3" t="str">
        <x:v>SİSTEM</x:v>
      </x:c>
      <x:c r="G117" s="3" t="str">
        <x:v>high</x:v>
      </x:c>
      <x:c r="H117" s="3" t="str">
        <x:v>100</x:v>
      </x:c>
      <x:c r="I117" s="3" t="str">
        <x:v>FARKLI_RESMI_SITE_ONCELIKLI</x:v>
      </x:c>
      <x:c r="J117" s="3" t="str">
        <x:v>‎+90 332 345 05 88</x:v>
      </x:c>
      <x:c r="K117" s="8"/>
      <x:c r="L117" s="8" t="str">
        <x:v>https://www.gelisimmak.com</x:v>
      </x:c>
      <x:c r="M117" s="8" t="str">
        <x:v>https://www.gelisimmak.com</x:v>
      </x:c>
      <x:c r="N117" s="8" t="str">
        <x:v>https://www.maktekfuari.com/brand/gelisim-elektromekanik-ltd-sti</x:v>
      </x:c>
      <x:c r="O117" s="3" t="str">
        <x:v>2</x:v>
      </x:c>
      <x:c r="P117" s="3" t="str">
        <x:v>207</x:v>
      </x:c>
      <x:c r="Q117" s="8"/>
      <x:c r="R117" s="8"/>
    </x:row>
    <x:row r="118">
      <x:c r="A118" s="3" t="str">
        <x:v>GENESİS KALIP APARAT MÜHENDİSLİK SAN. VE TİC. LTD.ŞTİ.</x:v>
      </x:c>
      <x:c r="B118" s="3" t="str">
        <x:v>https://www.gnskalip.com</x:v>
      </x:c>
      <x:c r="C118" s="3" t="str">
        <x:v>info@gnskalip.com</x:v>
      </x:c>
      <x:c r="D118" s="3" t="str">
        <x:v>‎0533 435 44 52</x:v>
      </x:c>
      <x:c r="E118" s="3" t="str">
        <x:v>TAM</x:v>
      </x:c>
      <x:c r="F118" s="3" t="str">
        <x:v>SİSTEM</x:v>
      </x:c>
      <x:c r="G118" s="3" t="str">
        <x:v>high</x:v>
      </x:c>
      <x:c r="H118" s="3" t="str">
        <x:v>100</x:v>
      </x:c>
      <x:c r="I118" s="3" t="str">
        <x:v>ESLESTI</x:v>
      </x:c>
      <x:c r="J118" s="3" t="str">
        <x:v>‎+90 533 435 44 52</x:v>
      </x:c>
      <x:c r="K118" s="8"/>
      <x:c r="L118" s="8" t="str">
        <x:v>https://www.gnskalip.com</x:v>
      </x:c>
      <x:c r="M118" s="8" t="str">
        <x:v>https://www.gnskalip.com</x:v>
      </x:c>
      <x:c r="N118" s="8" t="str">
        <x:v>https://www.maktekfuari.com/brand/genesis-kalip-aparat-muhendislik-san-ve-tic-ltdsti</x:v>
      </x:c>
      <x:c r="O118" s="3" t="str">
        <x:v>12A</x:v>
      </x:c>
      <x:c r="P118" s="3" t="str">
        <x:v>58D</x:v>
      </x:c>
      <x:c r="Q118" s="8" t="str">
        <x:v>GNS Kalıp Standartları</x:v>
      </x:c>
      <x:c r="R118" s="8"/>
    </x:row>
    <x:row r="119">
      <x:c r="A119" s="11" t="str">
        <x:v>GERMAK MAKİNA SANAYİ TİCARET LİMİTED ŞİRKETİ</x:v>
      </x:c>
      <x:c r="B119" s="11" t="str">
        <x:v>https://www.germakmakina.com.tr</x:v>
      </x:c>
      <x:c r="C119" s="11"/>
      <x:c r="D119" s="11" t="str">
        <x:v>‎+90 212 671 53 81</x:v>
      </x:c>
      <x:c r="E119" s="11" t="str">
        <x:v>KISMI</x:v>
      </x:c>
      <x:c r="F119" s="11" t="str">
        <x:v>MANUEL WEB DOĞRULAMA</x:v>
      </x:c>
      <x:c r="G119" s="11" t="str">
        <x:v>manual</x:v>
      </x:c>
      <x:c r="H119" s="11"/>
      <x:c r="I119" s="11" t="str">
        <x:v>FUAR_REFERANSI_YOK</x:v>
      </x:c>
      <x:c r="J119" s="11"/>
      <x:c r="K119" s="12" t="str">
        <x:v>Resmî site üzerindeki ayırt edici marka/ticari unvan, Türkiye adresi veya fuar telefon eşleşmesiyle kimlik doğrulandı. İletişim yalnız doğrulanan resmî siteden alındı. Kimlik kanıtı: https://www.germakmakina.com.tr/MainPage/?LanguageID=1</x:v>
      </x:c>
      <x:c r="L119" s="12"/>
      <x:c r="M119" s="12" t="str">
        <x:v>https://www.germakmakina.com.tr/Contact/?LanguageID=1</x:v>
      </x:c>
      <x:c r="N119" s="12" t="str">
        <x:v>https://www.maktekfuari.com/brand/germak-makina-sanayi-ticaret-limited-sirketi</x:v>
      </x:c>
      <x:c r="O119" s="11" t="str">
        <x:v>1</x:v>
      </x:c>
      <x:c r="P119" s="11" t="str">
        <x:v>109</x:v>
      </x:c>
      <x:c r="Q119" s="12"/>
      <x:c r="R119" s="12"/>
    </x:row>
    <x:row r="120">
      <x:c r="A120" s="3" t="str">
        <x:v>GNC CNC MAKİNA TEKNOLOJİLERİ A.Ş.</x:v>
      </x:c>
      <x:c r="B120" s="3" t="str">
        <x:v>https://gncmak.com</x:v>
      </x:c>
      <x:c r="C120" s="3" t="str">
        <x:v>info@gncmak.com</x:v>
      </x:c>
      <x:c r="D120" s="3" t="str">
        <x:v>‎0216 471 46 20</x:v>
      </x:c>
      <x:c r="E120" s="3" t="str">
        <x:v>TAM</x:v>
      </x:c>
      <x:c r="F120" s="3" t="str">
        <x:v>SİSTEM</x:v>
      </x:c>
      <x:c r="G120" s="3" t="str">
        <x:v>medium</x:v>
      </x:c>
      <x:c r="H120" s="3" t="str">
        <x:v>87</x:v>
      </x:c>
      <x:c r="I120" s="3" t="str">
        <x:v>FARKLI_RESMI_SITE_ONCELIKLI</x:v>
      </x:c>
      <x:c r="J120" s="3" t="str">
        <x:v>‎+90 542 449 46 20</x:v>
      </x:c>
      <x:c r="K120" s="8"/>
      <x:c r="L120" s="8" t="str">
        <x:v>https://gncmak.com/iletisim</x:v>
      </x:c>
      <x:c r="M120" s="8" t="str">
        <x:v>https://gncmak.com/iletisim</x:v>
      </x:c>
      <x:c r="N120" s="8" t="str">
        <x:v>https://www.maktekfuari.com/brand/gnc-cnc-makina-teknolojileri-as</x:v>
      </x:c>
      <x:c r="O120" s="3" t="str">
        <x:v>7</x:v>
      </x:c>
      <x:c r="P120" s="3" t="str">
        <x:v>707B</x:v>
      </x:c>
      <x:c r="Q120" s="8"/>
      <x:c r="R120" s="8" t="str">
        <x:v>Nakamura Tome; ONA; Romi; Lico; Vision Wide; Vonghler; Victor Taichung</x:v>
      </x:c>
    </x:row>
    <x:row r="121">
      <x:c r="A121" s="11" t="str">
        <x:v>GNN CNC TAKIM TEZGAHLARI SAN. LTD. ŞTİ.</x:v>
      </x:c>
      <x:c r="B121" s="11" t="str">
        <x:v>https://www.gnncnc.com</x:v>
      </x:c>
      <x:c r="C121" s="11" t="str">
        <x:v>info@gnncnc.com</x:v>
      </x:c>
      <x:c r="D121" s="11" t="str">
        <x:v>‎+90 224 443 20 88</x:v>
      </x:c>
      <x:c r="E121" s="11" t="str">
        <x:v>TAM</x:v>
      </x:c>
      <x:c r="F121" s="11" t="str">
        <x:v>MANUEL WEB DOĞRULAMA</x:v>
      </x:c>
      <x:c r="G121" s="11" t="str">
        <x:v>manual</x:v>
      </x:c>
      <x:c r="H121" s="11"/>
      <x:c r="I121" s="11" t="str">
        <x:v>FUAR_REFERANSI_YOK</x:v>
      </x:c>
      <x:c r="J121" s="11"/>
      <x:c r="K121" s="12" t="str">
        <x:v>Resmî site üzerindeki ayırt edici marka/ticari unvan, Türkiye adresi veya fuar telefon eşleşmesiyle kimlik doğrulandı. İletişim yalnız doğrulanan resmî siteden alındı. Kimlik kanıtı: https://www.gnncnc.com/</x:v>
      </x:c>
      <x:c r="L121" s="12" t="str">
        <x:v>https://www.gnncnc.com/</x:v>
      </x:c>
      <x:c r="M121" s="12" t="str">
        <x:v>https://www.gnncnc.com/</x:v>
      </x:c>
      <x:c r="N121" s="12" t="str">
        <x:v>https://www.maktekfuari.com/brand/gnn-cnc-takim-tezgahlari-san-ltd-sti</x:v>
      </x:c>
      <x:c r="O121" s="11" t="str">
        <x:v>12</x:v>
      </x:c>
      <x:c r="P121" s="11" t="str">
        <x:v>1230</x:v>
      </x:c>
      <x:c r="Q121" s="12"/>
      <x:c r="R121" s="12"/>
    </x:row>
    <x:row r="122">
      <x:c r="A122" s="3" t="str">
        <x:v>GRİNDTEC MAKİNA SAN VE TİC LTD ŞTİ</x:v>
      </x:c>
      <x:c r="B122" s="3" t="str">
        <x:v>https://grindtec.com.tr</x:v>
      </x:c>
      <x:c r="C122" s="3" t="str">
        <x:v>info@grindtec.com.tr</x:v>
      </x:c>
      <x:c r="D122" s="3" t="str">
        <x:v>‎0216 572 18 23</x:v>
      </x:c>
      <x:c r="E122" s="3" t="str">
        <x:v>TAM</x:v>
      </x:c>
      <x:c r="F122" s="3" t="str">
        <x:v>SİSTEM</x:v>
      </x:c>
      <x:c r="G122" s="3" t="str">
        <x:v>high</x:v>
      </x:c>
      <x:c r="H122" s="3" t="str">
        <x:v>95</x:v>
      </x:c>
      <x:c r="I122" s="3" t="str">
        <x:v>ESLESTI</x:v>
      </x:c>
      <x:c r="J122" s="3" t="str">
        <x:v>‎+90 216 572 18 23</x:v>
      </x:c>
      <x:c r="K122" s="8"/>
      <x:c r="L122" s="8" t="str">
        <x:v>https://grindtec.com.tr</x:v>
      </x:c>
      <x:c r="M122" s="8" t="str">
        <x:v>https://grindtec.com.tr</x:v>
      </x:c>
      <x:c r="N122" s="8" t="str">
        <x:v>https://www.maktekfuari.com/brand/grindtec-makina-san-ve-tic-ltd-sti</x:v>
      </x:c>
      <x:c r="O122" s="3" t="str">
        <x:v>12</x:v>
      </x:c>
      <x:c r="P122" s="3" t="str">
        <x:v>1210A</x:v>
      </x:c>
      <x:c r="Q122" s="8"/>
      <x:c r="R122" s="8"/>
    </x:row>
    <x:row r="123">
      <x:c r="A123" s="3" t="str">
        <x:v>GUOHONG MAKİNA EKİPMANLARI İMALAT LİMİTED ŞİRKETİ</x:v>
      </x:c>
      <x:c r="B123" s="3" t="str">
        <x:v>https://guohongshop.com.tr</x:v>
      </x:c>
      <x:c r="C123" s="3" t="str">
        <x:v>guohonglazerinfo@gmail.com</x:v>
      </x:c>
      <x:c r="D123" s="3" t="str">
        <x:v>‎0536 831 67 87</x:v>
      </x:c>
      <x:c r="E123" s="3" t="str">
        <x:v>TAM</x:v>
      </x:c>
      <x:c r="F123" s="3" t="str">
        <x:v>SİSTEM</x:v>
      </x:c>
      <x:c r="G123" s="3" t="str">
        <x:v>high</x:v>
      </x:c>
      <x:c r="H123" s="3" t="str">
        <x:v>100</x:v>
      </x:c>
      <x:c r="I123" s="3" t="str">
        <x:v>FUAR_REFERANSI_YOK</x:v>
      </x:c>
      <x:c r="J123" s="3"/>
      <x:c r="K123" s="8"/>
      <x:c r="L123" s="8" t="str">
        <x:v>https://guohongshop.com.tr</x:v>
      </x:c>
      <x:c r="M123" s="8" t="str">
        <x:v>https://guohongshop.com.tr</x:v>
      </x:c>
      <x:c r="N123" s="8" t="str">
        <x:v>https://www.maktekfuari.com/brand/guohong-makina-ekipmanlari-imalat-limited-sirketi</x:v>
      </x:c>
      <x:c r="O123" s="3" t="str">
        <x:v>11A</x:v>
      </x:c>
      <x:c r="P123" s="3" t="str">
        <x:v>27</x:v>
      </x:c>
      <x:c r="Q123" s="8"/>
      <x:c r="R123" s="8"/>
    </x:row>
    <x:row r="124">
      <x:c r="A124" s="11" t="str">
        <x:v>GÜNEY TALAŞLI İMALAT MAKİNA SANAYİ VE TİCARET LİMİTED ŞİRKETİ</x:v>
      </x:c>
      <x:c r="B124" s="11" t="str">
        <x:v>https://guney-muhendislik.com/</x:v>
      </x:c>
      <x:c r="C124" s="11" t="str">
        <x:v>info@guney-muhendislik.com</x:v>
      </x:c>
      <x:c r="D124" s="11" t="str">
        <x:v>‎+90 216 471 72 18</x:v>
      </x:c>
      <x:c r="E124" s="11" t="str">
        <x:v>TAM</x:v>
      </x:c>
      <x:c r="F124" s="11" t="str">
        <x:v>MANUEL WEB DOĞRULAMA</x:v>
      </x:c>
      <x:c r="G124" s="11" t="str">
        <x:v>manual</x:v>
      </x:c>
      <x:c r="H124" s="11"/>
      <x:c r="I124" s="11" t="str">
        <x:v>MANUEL_ESLESTI</x:v>
      </x:c>
      <x:c r="J124" s="11" t="str">
        <x:v>‎+90 216 471 72 18</x:v>
      </x:c>
      <x:c r="K124" s="12" t="str">
        <x:v>Resmî site üzerindeki ayırt edici marka/ticari unvan, Türkiye adresi veya fuar telefon eşleşmesiyle kimlik doğrulandı. İletişim yalnız doğrulanan resmî siteden alındı. Kimlik kanıtı: https://guney-muhendislik.com/</x:v>
      </x:c>
      <x:c r="L124" s="12" t="str">
        <x:v>https://guney-muhendislik.com/</x:v>
      </x:c>
      <x:c r="M124" s="12" t="str">
        <x:v>https://guney-muhendislik.com/</x:v>
      </x:c>
      <x:c r="N124" s="12" t="str">
        <x:v>https://www.maktekfuari.com/brand/guney-talasli-imalat-makina-sanayi-ve-ticaret-limited-sirketi</x:v>
      </x:c>
      <x:c r="O124" s="11" t="str">
        <x:v>11</x:v>
      </x:c>
      <x:c r="P124" s="11" t="str">
        <x:v>1111</x:v>
      </x:c>
      <x:c r="Q124" s="12"/>
      <x:c r="R124" s="12" t="str">
        <x:v>Atling Steady Rest; DTR; Dorfner Schleifmittelwerk GmbH; WILHELM KÖNIG MTM GmbH</x:v>
      </x:c>
    </x:row>
    <x:row r="125">
      <x:c r="A125" s="11" t="str">
        <x:v>GÜRİŞ İŞ MAKİNALARI END. A.Ş.</x:v>
      </x:c>
      <x:c r="B125" s="11" t="str">
        <x:v>https://www.gurisendustri.com/</x:v>
      </x:c>
      <x:c r="C125" s="11"/>
      <x:c r="D125" s="11" t="str">
        <x:v>‎+90 216 305 05 57</x:v>
      </x:c>
      <x:c r="E125" s="11" t="str">
        <x:v>KISMI</x:v>
      </x:c>
      <x:c r="F125" s="11" t="str">
        <x:v>MANUEL WEB DOĞRULAMA</x:v>
      </x:c>
      <x:c r="G125" s="11" t="str">
        <x:v>manual</x:v>
      </x:c>
      <x:c r="H125" s="11"/>
      <x:c r="I125" s="11" t="str">
        <x:v>FUAR_REFERANSI_YOK</x:v>
      </x:c>
      <x:c r="J125" s="11"/>
      <x:c r="K125" s="12" t="str">
        <x:v>Resmî site üzerindeki ayırt edici marka/ticari unvan, Türkiye adresi veya fuar telefon eşleşmesiyle kimlik doğrulandı. İletişim yalnız doğrulanan resmî siteden alındı. Kimlik kanıtı: https://www.gurisendustri.com/</x:v>
      </x:c>
      <x:c r="L125" s="12"/>
      <x:c r="M125" s="12" t="str">
        <x:v>https://www.gurisendustri.com/</x:v>
      </x:c>
      <x:c r="N125" s="12" t="str">
        <x:v>https://www.maktekfuari.com/brand/guris-is-makinalari-end-as</x:v>
      </x:c>
      <x:c r="O125" s="11" t="str">
        <x:v>10</x:v>
      </x:c>
      <x:c r="P125" s="11" t="str">
        <x:v>1016</x:v>
      </x:c>
      <x:c r="Q125" s="12"/>
      <x:c r="R125" s="12"/>
    </x:row>
    <x:row r="126">
      <x:c r="A126" s="11" t="str">
        <x:v>GÜVENAL MAK.TİC.VE SAN.LTD.ŞTİ.</x:v>
      </x:c>
      <x:c r="B126" s="11" t="str">
        <x:v>https://guvenalmakina.com</x:v>
      </x:c>
      <x:c r="C126" s="11" t="str">
        <x:v>ikitelli@guvenalmakina.com</x:v>
      </x:c>
      <x:c r="D126" s="11" t="str">
        <x:v>‎0212 567 38 87</x:v>
      </x:c>
      <x:c r="E126" s="11" t="str">
        <x:v>TAM</x:v>
      </x:c>
      <x:c r="F126" s="11" t="str">
        <x:v>MANUEL WEB DOĞRULAMA</x:v>
      </x:c>
      <x:c r="G126" s="11" t="str">
        <x:v>manual</x:v>
      </x:c>
      <x:c r="H126" s="11"/>
      <x:c r="I126" s="11" t="str">
        <x:v>FUAR_REFERANSI_YOK</x:v>
      </x:c>
      <x:c r="J126" s="11"/>
      <x:c r="K126" s="12" t="str">
        <x:v>Resmî site üzerindeki ayırt edici marka/ticari unvan, Türkiye adresi veya fuar telefon eşleşmesiyle kimlik doğrulandı. İletişim yalnız doğrulanan resmî siteden alındı. Kimlik kanıtı: https://guvenalmakina.com/</x:v>
      </x:c>
      <x:c r="L126" s="12" t="str">
        <x:v>https://guvenalmakina.com/kurumsal</x:v>
      </x:c>
      <x:c r="M126" s="12" t="str">
        <x:v>https://guvenalmakina.com/</x:v>
      </x:c>
      <x:c r="N126" s="12" t="str">
        <x:v>https://www.maktekfuari.com/brand/guvenal-makticve-sanltdsti</x:v>
      </x:c>
      <x:c r="O126" s="11" t="str">
        <x:v>5</x:v>
      </x:c>
      <x:c r="P126" s="11" t="str">
        <x:v>510</x:v>
      </x:c>
      <x:c r="Q126" s="12"/>
      <x:c r="R126" s="12"/>
    </x:row>
    <x:row r="127">
      <x:c r="A127" s="11" t="str">
        <x:v>HAIMER DIŞ TİC. LTD. ŞTİ.</x:v>
      </x:c>
      <x:c r="B127" s="11" t="str">
        <x:v>https://www.haimer.com.tr/</x:v>
      </x:c>
      <x:c r="C127" s="11"/>
      <x:c r="D127" s="11" t="str">
        <x:v>‎0312 395 68 82</x:v>
      </x:c>
      <x:c r="E127" s="11" t="str">
        <x:v>KISMI</x:v>
      </x:c>
      <x:c r="F127" s="11" t="str">
        <x:v>MANUEL WEB DOĞRULAMA</x:v>
      </x:c>
      <x:c r="G127" s="11" t="str">
        <x:v>manual</x:v>
      </x:c>
      <x:c r="H127" s="11"/>
      <x:c r="I127" s="11" t="str">
        <x:v>MANUEL_ESLESTI</x:v>
      </x:c>
      <x:c r="J127" s="11" t="str">
        <x:v>‎+90 312 395 68 82</x:v>
      </x:c>
      <x:c r="K127" s="12" t="str">
        <x:v>Resmî site üzerindeki ayırt edici marka/ticari unvan, Türkiye adresi veya fuar telefon eşleşmesiyle kimlik doğrulandı. İletişim yalnız doğrulanan resmî siteden alındı. Kimlik kanıtı: https://www.haimer.com/tr/contact/contact-form</x:v>
      </x:c>
      <x:c r="L127" s="12"/>
      <x:c r="M127" s="12" t="str">
        <x:v>https://www.haimer.com/tr</x:v>
      </x:c>
      <x:c r="N127" s="12" t="str">
        <x:v>https://www.maktekfuari.com/brand/haimer-dis-tic-ltd-sti</x:v>
      </x:c>
      <x:c r="O127" s="11" t="str">
        <x:v>11</x:v>
      </x:c>
      <x:c r="P127" s="11" t="str">
        <x:v>1156</x:v>
      </x:c>
      <x:c r="Q127" s="12"/>
      <x:c r="R127" s="12"/>
    </x:row>
    <x:row r="128">
      <x:c r="A128" s="11" t="str">
        <x:v>HAİPAWA KESİCİ TAKIMLAR METİN AYDIN</x:v>
      </x:c>
      <x:c r="B128" s="11" t="str">
        <x:v>https://www.haipawatech.com</x:v>
      </x:c>
      <x:c r="C128" s="11" t="str">
        <x:v>info@haipawatech.com</x:v>
      </x:c>
      <x:c r="D128" s="11" t="str">
        <x:v>‎+90 532 707 40 58</x:v>
      </x:c>
      <x:c r="E128" s="11" t="str">
        <x:v>TAM</x:v>
      </x:c>
      <x:c r="F128" s="11" t="str">
        <x:v>MANUEL WEB DOĞRULAMA</x:v>
      </x:c>
      <x:c r="G128" s="11" t="str">
        <x:v>manual</x:v>
      </x:c>
      <x:c r="H128" s="11"/>
      <x:c r="I128" s="11" t="str">
        <x:v>MANUEL_ESLESTI</x:v>
      </x:c>
      <x:c r="J128" s="11" t="str">
        <x:v>‎+90 532 707 40 58</x:v>
      </x:c>
      <x:c r="K128" s="12" t="str">
        <x:v>Resmî site üzerindeki ayırt edici marka/ticari unvan, Türkiye adresi veya fuar telefon eşleşmesiyle kimlik doğrulandı. İletişim yalnız doğrulanan resmî siteden alındı. Kimlik kanıtı: https://haipawatech.com/hakkimizda/</x:v>
      </x:c>
      <x:c r="L128" s="12" t="str">
        <x:v>https://haipawatech.com/</x:v>
      </x:c>
      <x:c r="M128" s="12" t="str">
        <x:v>https://haipawatech.com/</x:v>
      </x:c>
      <x:c r="N128" s="12" t="str">
        <x:v>https://www.maktekfuari.com/brand/haipawa-kesici-takimlar-metin-aydin</x:v>
      </x:c>
      <x:c r="O128" s="11" t="str">
        <x:v>12A</x:v>
      </x:c>
      <x:c r="P128" s="11" t="str">
        <x:v>36</x:v>
      </x:c>
      <x:c r="Q128" s="12" t="str">
        <x:v>SANOWA; CARMON; NEUWERK</x:v>
      </x:c>
      <x:c r="R128" s="12" t="str">
        <x:v>NEUWERK TOOLS; CARMON</x:v>
      </x:c>
    </x:row>
    <x:row r="129">
      <x:c r="A129" s="3" t="str">
        <x:v>HAKSAN TAKIM TEZGAHLARI MAKINA SAN. VE TIC.LTD.STI.</x:v>
      </x:c>
      <x:c r="B129" s="3" t="str">
        <x:v>https://www.haksanmakina.com.tr</x:v>
      </x:c>
      <x:c r="C129" s="3" t="str">
        <x:v>info@haksanmakina.com.tr</x:v>
      </x:c>
      <x:c r="D129" s="3" t="str">
        <x:v>‎0212 567 33 31</x:v>
      </x:c>
      <x:c r="E129" s="3" t="str">
        <x:v>TAM</x:v>
      </x:c>
      <x:c r="F129" s="3" t="str">
        <x:v>SİSTEM</x:v>
      </x:c>
      <x:c r="G129" s="3" t="str">
        <x:v>medium</x:v>
      </x:c>
      <x:c r="H129" s="3" t="str">
        <x:v>87</x:v>
      </x:c>
      <x:c r="I129" s="3" t="str">
        <x:v>ESLESTI</x:v>
      </x:c>
      <x:c r="J129" s="3" t="str">
        <x:v>‎+90 212 567 33 31</x:v>
      </x:c>
      <x:c r="K129" s="8"/>
      <x:c r="L129" s="8" t="str">
        <x:v>https://www.haksanmakina.com.tr</x:v>
      </x:c>
      <x:c r="M129" s="8" t="str">
        <x:v>https://www.haksanmakina.com.tr?i/iletisim.html</x:v>
      </x:c>
      <x:c r="N129" s="8" t="str">
        <x:v>https://www.maktekfuari.com/brand/haksan-takim-tezgahlari-makina-san-ve-ticltdsti</x:v>
      </x:c>
      <x:c r="O129" s="3" t="str">
        <x:v>4</x:v>
      </x:c>
      <x:c r="P129" s="3" t="str">
        <x:v>403</x:v>
      </x:c>
      <x:c r="Q129" s="8"/>
      <x:c r="R129" s="8" t="str">
        <x:v>L.K. MACHINERY; ECOCA INDUSTRY (FAIR FRIEND GROUP); MANFORD MACHINERY; DOWELL MACHINERY (TONGYI MACHINERY); BAOJI MACHINERY</x:v>
      </x:c>
    </x:row>
    <x:row r="130">
      <x:c r="A130" s="3" t="str">
        <x:v>HANKO MAKİNA SAN. VE TİC.LTD.ŞTİ.</x:v>
      </x:c>
      <x:c r="B130" s="3" t="str">
        <x:v>https://www.hankoltd.com</x:v>
      </x:c>
      <x:c r="C130" s="3" t="str">
        <x:v>info@hankoltd.com</x:v>
      </x:c>
      <x:c r="D130" s="3" t="str">
        <x:v>‎0216 456 10 43</x:v>
      </x:c>
      <x:c r="E130" s="3" t="str">
        <x:v>TAM</x:v>
      </x:c>
      <x:c r="F130" s="3" t="str">
        <x:v>SİSTEM</x:v>
      </x:c>
      <x:c r="G130" s="3" t="str">
        <x:v>medium</x:v>
      </x:c>
      <x:c r="H130" s="3" t="str">
        <x:v>85</x:v>
      </x:c>
      <x:c r="I130" s="3" t="str">
        <x:v>ESLESTI</x:v>
      </x:c>
      <x:c r="J130" s="3" t="str">
        <x:v>‎+90 216 456 10 43</x:v>
      </x:c>
      <x:c r="K130" s="8"/>
      <x:c r="L130" s="8" t="str">
        <x:v>https://www.hankoltd.com</x:v>
      </x:c>
      <x:c r="M130" s="8" t="str">
        <x:v>https://www.hankoltd.com</x:v>
      </x:c>
      <x:c r="N130" s="8" t="str">
        <x:v>https://www.maktekfuari.com/brand/hanko-makina-san-ve-ticltdsti</x:v>
      </x:c>
      <x:c r="O130" s="3" t="str">
        <x:v>5</x:v>
      </x:c>
      <x:c r="P130" s="3" t="str">
        <x:v>508</x:v>
      </x:c>
      <x:c r="Q130" s="8"/>
      <x:c r="R130" s="8" t="str">
        <x:v>C.M.S. SpA; Kern Microtechnik GmbH; REMACONTROL SRL; ASC Process Systems; Virtek Vision International; NCG CAM Solutions Ltd; Fidia S.p.A.</x:v>
      </x:c>
    </x:row>
    <x:row r="131">
      <x:c r="A131" s="11" t="str">
        <x:v>HARDE KALIP ELEMANLARI ÇELİK VE TEKNİK HIRDAVAT İTHALAT İHRACAT SANAYİ VE TİCARET LİMİTED ŞİRKETİ</x:v>
      </x:c>
      <x:c r="B131" s="11" t="str">
        <x:v>https://www.harde.com.tr/</x:v>
      </x:c>
      <x:c r="C131" s="11" t="str">
        <x:v>info@harde.com.tr</x:v>
      </x:c>
      <x:c r="D131" s="11" t="str">
        <x:v>‎+90 332 236 18 31</x:v>
      </x:c>
      <x:c r="E131" s="11" t="str">
        <x:v>TAM</x:v>
      </x:c>
      <x:c r="F131" s="11" t="str">
        <x:v>MANUEL WEB DOĞRULAMA</x:v>
      </x:c>
      <x:c r="G131" s="11" t="str">
        <x:v>manual</x:v>
      </x:c>
      <x:c r="H131" s="11"/>
      <x:c r="I131" s="11" t="str">
        <x:v>FUAR_REFERANSI_YOK</x:v>
      </x:c>
      <x:c r="J131" s="11"/>
      <x:c r="K131" s="12" t="str">
        <x:v>Resmî site üzerindeki ayırt edici marka/ticari unvan, Türkiye adresi veya fuar telefon eşleşmesiyle kimlik doğrulandı. İletişim yalnız doğrulanan resmî siteden alındı. Kimlik kanıtı: https://www.harde.com.tr/</x:v>
      </x:c>
      <x:c r="L131" s="12" t="str">
        <x:v>https://www.harde.com.tr/</x:v>
      </x:c>
      <x:c r="M131" s="12" t="str">
        <x:v>https://www.harde.com.tr/</x:v>
      </x:c>
      <x:c r="N131" s="12" t="str">
        <x:v>https://www.maktekfuari.com/brand/harde-kalip-elemanlari-celik-ve-teknik-hirdavat-ithalat-ihracat-sanayi-ve-ticaret-limited-sirketi</x:v>
      </x:c>
      <x:c r="O131" s="11" t="str">
        <x:v>11</x:v>
      </x:c>
      <x:c r="P131" s="11" t="str">
        <x:v>1170</x:v>
      </x:c>
      <x:c r="Q131" s="12"/>
      <x:c r="R131" s="12"/>
    </x:row>
    <x:row r="132">
      <x:c r="A132" s="3" t="str">
        <x:v>HASSAS MÜHENDİSLİK SAN. VE TİC. LTD. ŞTİ.</x:v>
      </x:c>
      <x:c r="B132" s="3" t="str">
        <x:v>https://www.hassas.com</x:v>
      </x:c>
      <x:c r="C132" s="3" t="str">
        <x:v>info@hassas.com</x:v>
      </x:c>
      <x:c r="D132" s="3" t="str">
        <x:v>‎0212 280 55 55</x:v>
      </x:c>
      <x:c r="E132" s="3" t="str">
        <x:v>TAM</x:v>
      </x:c>
      <x:c r="F132" s="3" t="str">
        <x:v>SİSTEM</x:v>
      </x:c>
      <x:c r="G132" s="3" t="str">
        <x:v>medium</x:v>
      </x:c>
      <x:c r="H132" s="3" t="str">
        <x:v>85</x:v>
      </x:c>
      <x:c r="I132" s="3" t="str">
        <x:v>ESLESTI</x:v>
      </x:c>
      <x:c r="J132" s="3" t="str">
        <x:v>‎+90 212 280 55 55</x:v>
      </x:c>
      <x:c r="K132" s="8"/>
      <x:c r="L132" s="8" t="str">
        <x:v>https://www.hassas.com</x:v>
      </x:c>
      <x:c r="M132" s="8" t="str">
        <x:v>https://www.hassas.com</x:v>
      </x:c>
      <x:c r="N132" s="8" t="str">
        <x:v>https://www.maktekfuari.com/brand/hassas-muhendislik-san-ve-tic-ltd-sti</x:v>
      </x:c>
      <x:c r="O132" s="3" t="str">
        <x:v>11</x:v>
      </x:c>
      <x:c r="P132" s="3" t="str">
        <x:v>1106</x:v>
      </x:c>
      <x:c r="Q132" s="8" t="str">
        <x:v>HASSAS</x:v>
      </x:c>
      <x:c r="R132" s="8"/>
    </x:row>
    <x:row r="133">
      <x:c r="A133" s="11" t="str">
        <x:v>HATSAN SİLAH MAKİNA KALIP SAN VE TİC A.Ş.</x:v>
      </x:c>
      <x:c r="B133" s="11" t="str">
        <x:v>https://hatsancuttingtools.com/ https://hatsan.com.tr/tr/</x:v>
      </x:c>
      <x:c r="C133" s="11" t="str">
        <x:v>info@hatsancuttingtools.com</x:v>
      </x:c>
      <x:c r="D133" s="11" t="str">
        <x:v>‎+90 232 878 91 00</x:v>
      </x:c>
      <x:c r="E133" s="11" t="str">
        <x:v>TAM</x:v>
      </x:c>
      <x:c r="F133" s="11" t="str">
        <x:v>MANUEL WEB DOĞRULAMA</x:v>
      </x:c>
      <x:c r="G133" s="11" t="str">
        <x:v>manual</x:v>
      </x:c>
      <x:c r="H133" s="11"/>
      <x:c r="I133" s="11" t="str">
        <x:v>FARKLI_RESMI_SITE_ONCELIKLI</x:v>
      </x:c>
      <x:c r="J133" s="11" t="str">
        <x:v>‎+90 505 759 11 35</x:v>
      </x:c>
      <x:c r="K133" s="12" t="str">
        <x:v>Resmî site üzerindeki ayırt edici marka/ticari unvan, Türkiye adresi veya fuar telefon eşleşmesiyle kimlik doğrulandı. İletişim yalnız doğrulanan resmî siteden alındı. Kimlik kanıtı: https://hatsancuttingtools.com/%20https:/hatsan.com.tr/tr/</x:v>
      </x:c>
      <x:c r="L133" s="12" t="str">
        <x:v>https://hatsancuttingtools.com/%20https:/hatsan.com.tr/tr/</x:v>
      </x:c>
      <x:c r="M133" s="12" t="str">
        <x:v>https://hatsancuttingtools.com/%20https:/hatsan.com.tr/tr/</x:v>
      </x:c>
      <x:c r="N133" s="12" t="str">
        <x:v>https://www.maktekfuari.com/brand/hatsan-silah-makina-kalip-san-ve-tic-as</x:v>
      </x:c>
      <x:c r="O133" s="11" t="str">
        <x:v>12A</x:v>
      </x:c>
      <x:c r="P133" s="11" t="str">
        <x:v>50F</x:v>
      </x:c>
      <x:c r="Q133" s="12"/>
      <x:c r="R133" s="12"/>
    </x:row>
    <x:row r="134">
      <x:c r="A134" s="11" t="str">
        <x:v>HERMAKİNA CNC TAK.TEZ.VE BİL.SİS.İTH.İHR.SA.Tİ.LTD.ŞTİ.</x:v>
      </x:c>
      <x:c r="B134" s="11" t="str">
        <x:v>https://hermakina.com.tr/</x:v>
      </x:c>
      <x:c r="C134" s="11"/>
      <x:c r="D134" s="11" t="str">
        <x:v>‎+90 216 304 00 07</x:v>
      </x:c>
      <x:c r="E134" s="11" t="str">
        <x:v>KISMI</x:v>
      </x:c>
      <x:c r="F134" s="11" t="str">
        <x:v>MANUEL WEB DOĞRULAMA</x:v>
      </x:c>
      <x:c r="G134" s="11" t="str">
        <x:v>manual</x:v>
      </x:c>
      <x:c r="H134" s="11"/>
      <x:c r="I134" s="11" t="str">
        <x:v>MANUEL_ESLESTI</x:v>
      </x:c>
      <x:c r="J134" s="11" t="str">
        <x:v>‎+90 216 304 00 07</x:v>
      </x:c>
      <x:c r="K134" s="12" t="str">
        <x:v>Resmî site üzerindeki ayırt edici marka/ticari unvan, Türkiye adresi veya fuar telefon eşleşmesiyle kimlik doğrulandı. İletişim yalnız doğrulanan resmî siteden alındı. Kimlik kanıtı: https://hermakina.com.tr/</x:v>
      </x:c>
      <x:c r="L134" s="12"/>
      <x:c r="M134" s="12" t="str">
        <x:v>https://hermakina.com.tr/</x:v>
      </x:c>
      <x:c r="N134" s="12" t="str">
        <x:v>https://www.maktekfuari.com/brand/hermakina-cnc-taktezve-bilsisithihrsatiltdsti</x:v>
      </x:c>
      <x:c r="O134" s="11" t="str">
        <x:v>4</x:v>
      </x:c>
      <x:c r="P134" s="11" t="str">
        <x:v>407</x:v>
      </x:c>
      <x:c r="Q134" s="12"/>
      <x:c r="R134" s="12" t="str">
        <x:v>HERMLE</x:v>
      </x:c>
    </x:row>
    <x:row r="135">
      <x:c r="A135" s="11" t="str">
        <x:v>HİCO MAKİNA VE MÜH.LTD.ŞTİ.</x:v>
      </x:c>
      <x:c r="B135" s="11" t="str">
        <x:v>https://www.hicopres.com/</x:v>
      </x:c>
      <x:c r="C135" s="11" t="str">
        <x:v>bilgi@hicopres.com</x:v>
      </x:c>
      <x:c r="D135" s="11" t="str">
        <x:v>‎+90 332 322 70 77</x:v>
      </x:c>
      <x:c r="E135" s="11" t="str">
        <x:v>TAM</x:v>
      </x:c>
      <x:c r="F135" s="11" t="str">
        <x:v>MANUEL WEB DOĞRULAMA</x:v>
      </x:c>
      <x:c r="G135" s="11" t="str">
        <x:v>manual</x:v>
      </x:c>
      <x:c r="H135" s="11"/>
      <x:c r="I135" s="11" t="str">
        <x:v>MANUEL_ESLESTI</x:v>
      </x:c>
      <x:c r="J135" s="11" t="str">
        <x:v>‎+90 332 322 70 77</x:v>
      </x:c>
      <x:c r="K135" s="12" t="str">
        <x:v>Resmî site üzerindeki ayırt edici marka/ticari unvan, Türkiye adresi veya fuar telefon eşleşmesiyle kimlik doğrulandı. İletişim yalnız doğrulanan resmî siteden alındı. Kimlik kanıtı: https://www.hicopres.com/</x:v>
      </x:c>
      <x:c r="L135" s="12" t="str">
        <x:v>https://www.hicopres.com/iletisim/</x:v>
      </x:c>
      <x:c r="M135" s="12" t="str">
        <x:v>https://www.hicopres.com/</x:v>
      </x:c>
      <x:c r="N135" s="12" t="str">
        <x:v>https://www.maktekfuari.com/brand/hico-makina-ve-muhltdsti</x:v>
      </x:c>
      <x:c r="O135" s="11" t="str">
        <x:v>2</x:v>
      </x:c>
      <x:c r="P135" s="11" t="str">
        <x:v>228</x:v>
      </x:c>
      <x:c r="Q135" s="12" t="str">
        <x:v>HİCO</x:v>
      </x:c>
      <x:c r="R135" s="12"/>
    </x:row>
    <x:row r="136">
      <x:c r="A136" s="3" t="str">
        <x:v>HİDKOM MÜHENDİSLİK MÜMES. TAAHHÜT MAK. VE TİC. LTD. ŞTİ.</x:v>
      </x:c>
      <x:c r="B136" s="3" t="str">
        <x:v>https://www.hidkom.com</x:v>
      </x:c>
      <x:c r="C136" s="3" t="str">
        <x:v>hidkom@hidkom.com</x:v>
      </x:c>
      <x:c r="D136" s="3" t="str">
        <x:v>‎0224 243 82 92</x:v>
      </x:c>
      <x:c r="E136" s="3" t="str">
        <x:v>TAM</x:v>
      </x:c>
      <x:c r="F136" s="3" t="str">
        <x:v>SİSTEM</x:v>
      </x:c>
      <x:c r="G136" s="3" t="str">
        <x:v>high</x:v>
      </x:c>
      <x:c r="H136" s="3" t="str">
        <x:v>93</x:v>
      </x:c>
      <x:c r="I136" s="3" t="str">
        <x:v>ESLESTI</x:v>
      </x:c>
      <x:c r="J136" s="3" t="str">
        <x:v>‎+90 224 243 82 92</x:v>
      </x:c>
      <x:c r="K136" s="8"/>
      <x:c r="L136" s="8" t="str">
        <x:v>https://www.hidkom.com</x:v>
      </x:c>
      <x:c r="M136" s="8" t="str">
        <x:v>https://www.hidkom.com</x:v>
      </x:c>
      <x:c r="N136" s="8" t="str">
        <x:v>https://www.maktekfuari.com/brand/hidkom-muhendislik-mumes-taahhut-mak-ve-tic-ltd-sti</x:v>
      </x:c>
      <x:c r="O136" s="3" t="str">
        <x:v>11</x:v>
      </x:c>
      <x:c r="P136" s="3" t="str">
        <x:v>1156</x:v>
      </x:c>
      <x:c r="Q136" s="8"/>
      <x:c r="R136" s="8" t="str">
        <x:v>Best Gmbh; Erwin Halder; Wagner; Neidlein; HWR Spanntechnik GmbH; Roemheld; Hainbuch; ROMAI ROBERT MAIER GMBH; ESA Eppinger GmbH; Norelem</x:v>
      </x:c>
    </x:row>
    <x:row r="137">
      <x:c r="A137" s="3" t="str">
        <x:v>HİDROLİKSAN HALİM USTA HİDROLİK PRES İML .SAN. TİC.LTD.ŞTİ.</x:v>
      </x:c>
      <x:c r="B137" s="3" t="str">
        <x:v>https://www.hidroliksan.com</x:v>
      </x:c>
      <x:c r="C137" s="3" t="str">
        <x:v>info@hidroliksan.com</x:v>
      </x:c>
      <x:c r="D137" s="3"/>
      <x:c r="E137" s="3" t="str">
        <x:v>KISMI</x:v>
      </x:c>
      <x:c r="F137" s="3" t="str">
        <x:v>SİSTEM</x:v>
      </x:c>
      <x:c r="G137" s="3" t="str">
        <x:v>high</x:v>
      </x:c>
      <x:c r="H137" s="3" t="str">
        <x:v>100</x:v>
      </x:c>
      <x:c r="I137" s="3" t="str">
        <x:v>RESMI_SITEDE_TELEFON_YOK</x:v>
      </x:c>
      <x:c r="J137" s="3" t="str">
        <x:v>‎+90 530 956 56 22</x:v>
      </x:c>
      <x:c r="K137" s="8"/>
      <x:c r="L137" s="8" t="str">
        <x:v>https://www.hidroliksan.com/tr/iletisim-53/iletisim_bilgileri-211.html</x:v>
      </x:c>
      <x:c r="M137" s="8"/>
      <x:c r="N137" s="8" t="str">
        <x:v>https://www.maktekfuari.com/brand/hidroliksan-halim-usta-hidrolik-pres-iml-san-ticltdsti</x:v>
      </x:c>
      <x:c r="O137" s="3" t="str">
        <x:v>2</x:v>
      </x:c>
      <x:c r="P137" s="3" t="str">
        <x:v>224</x:v>
      </x:c>
      <x:c r="Q137" s="8" t="str">
        <x:v>HİDROLİKSAN</x:v>
      </x:c>
      <x:c r="R137" s="8"/>
    </x:row>
    <x:row r="138">
      <x:c r="A138" s="3" t="str">
        <x:v>HİDROPAR BURSA OTOMASYON HİD. PNÖM. MAK. SAN. TİC. A. Ş.</x:v>
      </x:c>
      <x:c r="B138" s="3" t="str">
        <x:v>https://hidroparbursa.com.tr</x:v>
      </x:c>
      <x:c r="C138" s="3" t="str">
        <x:v>info@hidroparbursa.com.tr</x:v>
      </x:c>
      <x:c r="D138" s="3" t="str">
        <x:v>‎0224 441 55 11</x:v>
      </x:c>
      <x:c r="E138" s="3" t="str">
        <x:v>TAM</x:v>
      </x:c>
      <x:c r="F138" s="3" t="str">
        <x:v>SİSTEM</x:v>
      </x:c>
      <x:c r="G138" s="3" t="str">
        <x:v>high</x:v>
      </x:c>
      <x:c r="H138" s="3" t="str">
        <x:v>100</x:v>
      </x:c>
      <x:c r="I138" s="3" t="str">
        <x:v>FUAR_REFERANSI_YOK</x:v>
      </x:c>
      <x:c r="J138" s="3"/>
      <x:c r="K138" s="8"/>
      <x:c r="L138" s="8" t="str">
        <x:v>https://hidroparbursa.com.tr/tr/iletisim/bilgileri</x:v>
      </x:c>
      <x:c r="M138" s="8" t="str">
        <x:v>https://hidroparbursa.com.tr</x:v>
      </x:c>
      <x:c r="N138" s="8" t="str">
        <x:v>https://www.maktekfuari.com/brand/hidropar-bursa-otomasyon-hid-pnom-mak-san-tic-a-s</x:v>
      </x:c>
      <x:c r="O138" s="3" t="str">
        <x:v>11</x:v>
      </x:c>
      <x:c r="P138" s="3" t="str">
        <x:v>1131</x:v>
      </x:c>
      <x:c r="Q138" s="8"/>
      <x:c r="R138" s="8"/>
    </x:row>
    <x:row r="139">
      <x:c r="A139" s="3" t="str">
        <x:v>HİDROPRES MAKİNA SANAYİ VE TİCARET ANONİM ŞİRKETİ</x:v>
      </x:c>
      <x:c r="B139" s="3" t="str">
        <x:v>https://www.hidropres.com.tr</x:v>
      </x:c>
      <x:c r="C139" s="3" t="str">
        <x:v>info@hidropres.com.tr</x:v>
      </x:c>
      <x:c r="D139" s="3" t="str">
        <x:v>‎0224 372 60 70</x:v>
      </x:c>
      <x:c r="E139" s="3" t="str">
        <x:v>TAM</x:v>
      </x:c>
      <x:c r="F139" s="3" t="str">
        <x:v>SİSTEM</x:v>
      </x:c>
      <x:c r="G139" s="3" t="str">
        <x:v>medium</x:v>
      </x:c>
      <x:c r="H139" s="3" t="str">
        <x:v>81</x:v>
      </x:c>
      <x:c r="I139" s="3" t="str">
        <x:v>FARKLI_RESMI_SITE_ONCELIKLI</x:v>
      </x:c>
      <x:c r="J139" s="3" t="str">
        <x:v>‎+90 534 490 02 22</x:v>
      </x:c>
      <x:c r="K139" s="8"/>
      <x:c r="L139" s="8" t="str">
        <x:v>https://www.hidropres.com.tr/iletisim.html</x:v>
      </x:c>
      <x:c r="M139" s="8" t="str">
        <x:v>https://www.hidropres.com.tr/iletisim.html</x:v>
      </x:c>
      <x:c r="N139" s="8" t="str">
        <x:v>https://www.maktekfuari.com/brand/hidropres-makina-sanayi-ve-ticaret-anonim-sirketi</x:v>
      </x:c>
      <x:c r="O139" s="3" t="str">
        <x:v>1</x:v>
      </x:c>
      <x:c r="P139" s="3" t="str">
        <x:v>116</x:v>
      </x:c>
      <x:c r="Q139" s="8" t="str">
        <x:v>HİDROPRES</x:v>
      </x:c>
      <x:c r="R139" s="8"/>
    </x:row>
    <x:row r="140">
      <x:c r="A140" s="11" t="str">
        <x:v>HİLALSAN MAK. ENDUSTRİYEL VE TİC. LTD. STİ.</x:v>
      </x:c>
      <x:c r="B140" s="11" t="str">
        <x:v>https://www.hilalsan.com.tr</x:v>
      </x:c>
      <x:c r="C140" s="11"/>
      <x:c r="D140" s="11" t="str">
        <x:v>‎+90 332 345 16 16</x:v>
      </x:c>
      <x:c r="E140" s="11" t="str">
        <x:v>KISMI</x:v>
      </x:c>
      <x:c r="F140" s="11" t="str">
        <x:v>MANUEL WEB DOĞRULAMA</x:v>
      </x:c>
      <x:c r="G140" s="11" t="str">
        <x:v>manual</x:v>
      </x:c>
      <x:c r="H140" s="11"/>
      <x:c r="I140" s="11" t="str">
        <x:v>FUAR_REFERANSI_YOK</x:v>
      </x:c>
      <x:c r="J140" s="11"/>
      <x:c r="K140" s="12" t="str">
        <x:v>Resmî site üzerindeki ayırt edici marka/ticari unvan, Türkiye adresi veya fuar telefon eşleşmesiyle kimlik doğrulandı. İletişim yalnız doğrulanan resmî siteden alındı. Kimlik kanıtı: https://www.hilalsan.com.tr/</x:v>
      </x:c>
      <x:c r="L140" s="12"/>
      <x:c r="M140" s="12" t="str">
        <x:v>https://www.hilalsan.com.tr/</x:v>
      </x:c>
      <x:c r="N140" s="12" t="str">
        <x:v>https://www.maktekfuari.com/brand/hilalsan-mak-endustriyel-ve-tic-ltd-sti</x:v>
      </x:c>
      <x:c r="O140" s="11" t="str">
        <x:v>2</x:v>
      </x:c>
      <x:c r="P140" s="11" t="str">
        <x:v>201</x:v>
      </x:c>
      <x:c r="Q140" s="12"/>
      <x:c r="R140" s="12"/>
    </x:row>
    <x:row r="141">
      <x:c r="A141" s="3" t="str">
        <x:v>HORN TURKEY METAL İŞLEME EKİPMANLARI İTH. VE PAZ. LTD. ŞTİ.</x:v>
      </x:c>
      <x:c r="B141" s="3" t="str">
        <x:v>https://www.horn-group.com</x:v>
      </x:c>
      <x:c r="C141" s="3" t="str">
        <x:v>info@tr.horn-group.com</x:v>
      </x:c>
      <x:c r="D141" s="3" t="str">
        <x:v>‎0252 023 20 19</x:v>
      </x:c>
      <x:c r="E141" s="3" t="str">
        <x:v>TAM</x:v>
      </x:c>
      <x:c r="F141" s="3" t="str">
        <x:v>SİSTEM</x:v>
      </x:c>
      <x:c r="G141" s="3" t="str">
        <x:v>medium</x:v>
      </x:c>
      <x:c r="H141" s="3" t="str">
        <x:v>79</x:v>
      </x:c>
      <x:c r="I141" s="3" t="str">
        <x:v>ESLESTI</x:v>
      </x:c>
      <x:c r="J141" s="3" t="str">
        <x:v>‎+90 216 999 18 35</x:v>
      </x:c>
      <x:c r="K141" s="8"/>
      <x:c r="L141" s="8" t="str">
        <x:v>https://www.horn-group.com/tr/company/responsibility</x:v>
      </x:c>
      <x:c r="M141" s="8" t="str">
        <x:v>https://www.horn-group.com</x:v>
      </x:c>
      <x:c r="N141" s="8" t="str">
        <x:v>https://www.maktekfuari.com/brand/horn-turkey-metal-isleme-ekipmanlari-ith-ve-paz-ltd-sti</x:v>
      </x:c>
      <x:c r="O141" s="3" t="str">
        <x:v>11</x:v>
      </x:c>
      <x:c r="P141" s="3" t="str">
        <x:v>1154B</x:v>
      </x:c>
      <x:c r="Q141" s="8" t="str">
        <x:v>ph HORN</x:v>
      </x:c>
      <x:c r="R141" s="8" t="str">
        <x:v>Hartmetall-Werkzeugfabrik Paul Horn GmbH</x:v>
      </x:c>
    </x:row>
    <x:row r="142">
      <x:c r="A142" s="11" t="str">
        <x:v>INDUCTOTHERM İNDÜKSİYON SİSTEMLERİ SAN AŞ</x:v>
      </x:c>
      <x:c r="B142" s="11" t="str">
        <x:v>https://inductothermgroup.com/tr/companies/inductotherm-group-turkiye/</x:v>
      </x:c>
      <x:c r="C142" s="11" t="str">
        <x:v>inducto@inductotherm.com.tr</x:v>
      </x:c>
      <x:c r="D142" s="11" t="str">
        <x:v>‎+90 262 646 34 24</x:v>
      </x:c>
      <x:c r="E142" s="11" t="str">
        <x:v>TAM</x:v>
      </x:c>
      <x:c r="F142" s="11" t="str">
        <x:v>MANUEL WEB DOĞRULAMA</x:v>
      </x:c>
      <x:c r="G142" s="11" t="str">
        <x:v>manual</x:v>
      </x:c>
      <x:c r="H142" s="11"/>
      <x:c r="I142" s="11" t="str">
        <x:v>FARKLI_RESMI_SITE_ONCELIKLI</x:v>
      </x:c>
      <x:c r="J142" s="11" t="str">
        <x:v>‎+90 262 676 79 00</x:v>
      </x:c>
      <x:c r="K142" s="12" t="str">
        <x:v>Resmî site üzerindeki ayırt edici marka/ticari unvan, Türkiye adresi veya fuar telefon eşleşmesiyle kimlik doğrulandı. İletişim yalnız doğrulanan resmî siteden alındı. Kimlik kanıtı: https://inductothermgroup.com/tr/companies/inductotherm-group-turkiye/</x:v>
      </x:c>
      <x:c r="L142" s="12" t="str">
        <x:v>https://inductothermgroup.com/tr/companies/inductotherm-group-turkiye/</x:v>
      </x:c>
      <x:c r="M142" s="12" t="str">
        <x:v>https://inductothermgroup.com/tr/companies/inductotherm-group-turkiye/</x:v>
      </x:c>
      <x:c r="N142" s="12" t="str">
        <x:v>https://www.maktekfuari.com/brand/inductotherm-induksiyon-sistemleri-san-as</x:v>
      </x:c>
      <x:c r="O142" s="11" t="str">
        <x:v>1</x:v>
      </x:c>
      <x:c r="P142" s="11" t="str">
        <x:v>104B</x:v>
      </x:c>
      <x:c r="Q142" s="12" t="str">
        <x:v>INDUCTOTHERM GROUP</x:v>
      </x:c>
      <x:c r="R142" s="12"/>
    </x:row>
    <x:row r="143">
      <x:c r="A143" s="3" t="str">
        <x:v>INTEGRAL TAKIM TEZGAHLARI CNC MAKINA VE TEKNOLOJİ ÇÖZÜMLERİ LTD. ŞTİ.</x:v>
      </x:c>
      <x:c r="B143" s="3" t="str">
        <x:v>https://integralteknoloji.com</x:v>
      </x:c>
      <x:c r="C143" s="3" t="str">
        <x:v>info@integralteknoloji.com</x:v>
      </x:c>
      <x:c r="D143" s="3" t="str">
        <x:v>‎0216 706 87 97</x:v>
      </x:c>
      <x:c r="E143" s="3" t="str">
        <x:v>TAM</x:v>
      </x:c>
      <x:c r="F143" s="3" t="str">
        <x:v>SİSTEM</x:v>
      </x:c>
      <x:c r="G143" s="3" t="str">
        <x:v>high</x:v>
      </x:c>
      <x:c r="H143" s="3" t="str">
        <x:v>100</x:v>
      </x:c>
      <x:c r="I143" s="3" t="str">
        <x:v>ESLESTI</x:v>
      </x:c>
      <x:c r="J143" s="3" t="str">
        <x:v>‎+90 216 706 87 97</x:v>
      </x:c>
      <x:c r="K143" s="8"/>
      <x:c r="L143" s="8" t="str">
        <x:v>https://integralteknoloji.com</x:v>
      </x:c>
      <x:c r="M143" s="8" t="str">
        <x:v>https://integralteknoloji.com</x:v>
      </x:c>
      <x:c r="N143" s="8" t="str">
        <x:v>https://www.maktekfuari.com/brand/integral-takim-tezgahlari-cnc-makina-ve-teknoloji-cozumleri-ltd-sti</x:v>
      </x:c>
      <x:c r="O143" s="3" t="str">
        <x:v>12</x:v>
      </x:c>
      <x:c r="P143" s="3" t="str">
        <x:v>1236</x:v>
      </x:c>
      <x:c r="Q143" s="8" t="str">
        <x:v>MURATEC</x:v>
      </x:c>
      <x:c r="R143" s="8" t="str">
        <x:v>HWACHEON</x:v>
      </x:c>
    </x:row>
    <x:row r="144">
      <x:c r="A144" s="11" t="str">
        <x:v>ISITAN MAKİNE SANAYİ VE TİC. A. Ş.</x:v>
      </x:c>
      <x:c r="B144" s="11" t="str">
        <x:v>https://www.isitan.com</x:v>
      </x:c>
      <x:c r="C144" s="11" t="str">
        <x:v>satis@isitan.com</x:v>
      </x:c>
      <x:c r="D144" s="11" t="str">
        <x:v>‎+90 224 245 89 88</x:v>
      </x:c>
      <x:c r="E144" s="11" t="str">
        <x:v>TAM</x:v>
      </x:c>
      <x:c r="F144" s="11" t="str">
        <x:v>MANUEL WEB DOĞRULAMA</x:v>
      </x:c>
      <x:c r="G144" s="11" t="str">
        <x:v>manual</x:v>
      </x:c>
      <x:c r="H144" s="11"/>
      <x:c r="I144" s="11" t="str">
        <x:v>FARKLI_RESMI_SITE_ONCELIKLI</x:v>
      </x:c>
      <x:c r="J144" s="11" t="str">
        <x:v>‎+90 534 883 18 02</x:v>
      </x:c>
      <x:c r="K144" s="12" t="str">
        <x:v>Resmî site üzerindeki ayırt edici marka/ticari unvan, Türkiye adresi veya fuar telefon eşleşmesiyle kimlik doğrulandı. İletişim yalnız doğrulanan resmî siteden alındı. Kimlik kanıtı: https://www.isitan.com/</x:v>
      </x:c>
      <x:c r="L144" s="12" t="str">
        <x:v>https://www.isitan.com/</x:v>
      </x:c>
      <x:c r="M144" s="12" t="str">
        <x:v>https://www.isitan.com/</x:v>
      </x:c>
      <x:c r="N144" s="12" t="str">
        <x:v>https://www.maktekfuari.com/brand/isitan-makine-sanayi-ve-tic-a-s</x:v>
      </x:c>
      <x:c r="O144" s="11" t="str">
        <x:v>2</x:v>
      </x:c>
      <x:c r="P144" s="11" t="str">
        <x:v>213</x:v>
      </x:c>
      <x:c r="Q144" s="12"/>
      <x:c r="R144" s="12"/>
    </x:row>
    <x:row r="145">
      <x:c r="A145" s="11" t="str">
        <x:v>İBRAHİM ÜMİT MAKİNA SAN. TİC. LTD. ŞTİ.</x:v>
      </x:c>
      <x:c r="B145" s="11" t="str">
        <x:v>https://umitmakina.com.tr/</x:v>
      </x:c>
      <x:c r="C145" s="11" t="str">
        <x:v>umit@umitmakina.com.tr</x:v>
      </x:c>
      <x:c r="D145" s="11" t="str">
        <x:v>‎+90 332 345 34 32</x:v>
      </x:c>
      <x:c r="E145" s="11" t="str">
        <x:v>TAM</x:v>
      </x:c>
      <x:c r="F145" s="11" t="str">
        <x:v>MANUEL WEB DOĞRULAMA</x:v>
      </x:c>
      <x:c r="G145" s="11" t="str">
        <x:v>manual</x:v>
      </x:c>
      <x:c r="H145" s="11"/>
      <x:c r="I145" s="11" t="str">
        <x:v>FARKLI_RESMI_SITE_ONCELIKLI</x:v>
      </x:c>
      <x:c r="J145" s="11" t="str">
        <x:v>‎+90 507 992 00 00</x:v>
      </x:c>
      <x:c r="K145" s="12" t="str">
        <x:v>Resmî site üzerindeki ayırt edici marka/ticari unvan, Türkiye adresi veya fuar telefon eşleşmesiyle kimlik doğrulandı. İletişim yalnız doğrulanan resmî siteden alındı. Kimlik kanıtı: https://umitmakina.com.tr/</x:v>
      </x:c>
      <x:c r="L145" s="12" t="str">
        <x:v>https://umitmakina.com.tr/</x:v>
      </x:c>
      <x:c r="M145" s="12" t="str">
        <x:v>https://umitmakina.com.tr/</x:v>
      </x:c>
      <x:c r="N145" s="12" t="str">
        <x:v>https://www.maktekfuari.com/brand/ibrahim-umit-makina-san-tic-ltd-sti</x:v>
      </x:c>
      <x:c r="O145" s="11" t="str">
        <x:v>7</x:v>
      </x:c>
      <x:c r="P145" s="11" t="str">
        <x:v>716</x:v>
      </x:c>
      <x:c r="Q145" s="12" t="str">
        <x:v>SMEC; Z-MAT</x:v>
      </x:c>
      <x:c r="R145" s="12" t="str">
        <x:v>SMEC Co. LTD</x:v>
      </x:c>
    </x:row>
    <x:row r="146">
      <x:c r="A146" s="3" t="str">
        <x:v>İCON CNC MAKİNA TEKNOLOJİLERİ SANAYİ VE TİCARET LİMİTED ŞİRKETİ</x:v>
      </x:c>
      <x:c r="B146" s="3" t="str">
        <x:v>https://iconcnc.com.tr</x:v>
      </x:c>
      <x:c r="C146" s="3" t="str">
        <x:v>info@iconcnc.com.tr</x:v>
      </x:c>
      <x:c r="D146" s="3" t="str">
        <x:v>‎0544 821 35 29</x:v>
      </x:c>
      <x:c r="E146" s="3" t="str">
        <x:v>TAM</x:v>
      </x:c>
      <x:c r="F146" s="3" t="str">
        <x:v>SİSTEM</x:v>
      </x:c>
      <x:c r="G146" s="3" t="str">
        <x:v>high</x:v>
      </x:c>
      <x:c r="H146" s="3" t="str">
        <x:v>100</x:v>
      </x:c>
      <x:c r="I146" s="3" t="str">
        <x:v>ESLESTI</x:v>
      </x:c>
      <x:c r="J146" s="3" t="str">
        <x:v>‎+90 544 821 35 29</x:v>
      </x:c>
      <x:c r="K146" s="8"/>
      <x:c r="L146" s="8" t="str">
        <x:v>https://iconcnc.com.tr/tr/iletisim</x:v>
      </x:c>
      <x:c r="M146" s="8" t="str">
        <x:v>https://iconcnc.com.tr/tr/iletisim</x:v>
      </x:c>
      <x:c r="N146" s="8" t="str">
        <x:v>https://www.maktekfuari.com/brand/icon-cnc-makina-teknolojileri-sanayi-ve-ticaret-limited-sirketi</x:v>
      </x:c>
      <x:c r="O146" s="3" t="str">
        <x:v>11A</x:v>
      </x:c>
      <x:c r="P146" s="3" t="str">
        <x:v>13</x:v>
      </x:c>
      <x:c r="Q146" s="8"/>
      <x:c r="R146" s="8"/>
    </x:row>
    <x:row r="147">
      <x:c r="A147" s="3" t="str">
        <x:v>İDEAL MAKİNA END. ÜRÜN. SAN. VE TİC. A.Ş.</x:v>
      </x:c>
      <x:c r="B147" s="3" t="str">
        <x:v>https://idealmakina.com</x:v>
      </x:c>
      <x:c r="C147" s="3" t="str">
        <x:v>info@idealmakina.com</x:v>
      </x:c>
      <x:c r="D147" s="3" t="str">
        <x:v>‎0216 540 88 18</x:v>
      </x:c>
      <x:c r="E147" s="3" t="str">
        <x:v>TAM</x:v>
      </x:c>
      <x:c r="F147" s="3" t="str">
        <x:v>SİSTEM</x:v>
      </x:c>
      <x:c r="G147" s="3" t="str">
        <x:v>medium</x:v>
      </x:c>
      <x:c r="H147" s="3" t="str">
        <x:v>87</x:v>
      </x:c>
      <x:c r="I147" s="3" t="str">
        <x:v>ESLESTI</x:v>
      </x:c>
      <x:c r="J147" s="3" t="str">
        <x:v>‎+90 216 540 88 55</x:v>
      </x:c>
      <x:c r="K147" s="8"/>
      <x:c r="L147" s="8" t="str">
        <x:v>https://idealmakina.com/iletisim/</x:v>
      </x:c>
      <x:c r="M147" s="8" t="str">
        <x:v>https://idealmakina.com/iletisim/</x:v>
      </x:c>
      <x:c r="N147" s="8" t="str">
        <x:v>https://www.maktekfuari.com/brand/ideal-makina-end-urun-san-ve-tic-as</x:v>
      </x:c>
      <x:c r="O147" s="3" t="str">
        <x:v>2</x:v>
      </x:c>
      <x:c r="P147" s="3" t="str">
        <x:v>216</x:v>
      </x:c>
      <x:c r="Q147" s="8"/>
      <x:c r="R147" s="8"/>
    </x:row>
    <x:row r="148">
      <x:c r="A148" s="3" t="str">
        <x:v>İĞREK MAKİNA SANAYİ VE TİC. A. Ş.</x:v>
      </x:c>
      <x:c r="B148" s="3" t="str">
        <x:v>https://www.igrek.com.tr</x:v>
      </x:c>
      <x:c r="C148" s="3" t="str">
        <x:v>contact@igrek.com.tr</x:v>
      </x:c>
      <x:c r="D148" s="3" t="str">
        <x:v>‎0224 243 16 07</x:v>
      </x:c>
      <x:c r="E148" s="3" t="str">
        <x:v>TAM</x:v>
      </x:c>
      <x:c r="F148" s="3" t="str">
        <x:v>SİSTEM</x:v>
      </x:c>
      <x:c r="G148" s="3" t="str">
        <x:v>medium</x:v>
      </x:c>
      <x:c r="H148" s="3" t="str">
        <x:v>85</x:v>
      </x:c>
      <x:c r="I148" s="3" t="str">
        <x:v>FARKLI_RESMI_SITE_ONCELIKLI</x:v>
      </x:c>
      <x:c r="J148" s="3" t="str">
        <x:v>‎0902 242 43 16</x:v>
      </x:c>
      <x:c r="K148" s="8"/>
      <x:c r="L148" s="8" t="str">
        <x:v>https://www.igrek.com.tr</x:v>
      </x:c>
      <x:c r="M148" s="8" t="str">
        <x:v>https://www.igrek.com.tr/iletisim/</x:v>
      </x:c>
      <x:c r="N148" s="8" t="str">
        <x:v>https://www.maktekfuari.com/brand/igrek-makina-sanayi-ve-tic-a-s</x:v>
      </x:c>
      <x:c r="O148" s="3" t="str">
        <x:v>12</x:v>
      </x:c>
      <x:c r="P148" s="3" t="str">
        <x:v>1201</x:v>
      </x:c>
      <x:c r="Q148" s="8" t="str">
        <x:v>İğrek Makina</x:v>
      </x:c>
      <x:c r="R148" s="8"/>
    </x:row>
    <x:row r="149">
      <x:c r="A149" s="3" t="str">
        <x:v>İHSAN KOÇAK MAKİNA SANAYİ VE TİCARET A.Ş.</x:v>
      </x:c>
      <x:c r="B149" s="3" t="str">
        <x:v>https://www.ihsankocak.com.tr</x:v>
      </x:c>
      <x:c r="C149" s="3" t="str">
        <x:v>info@ihsankocak.com.tr</x:v>
      </x:c>
      <x:c r="D149" s="3" t="str">
        <x:v>‎0332 345 10 10</x:v>
      </x:c>
      <x:c r="E149" s="3" t="str">
        <x:v>TAM</x:v>
      </x:c>
      <x:c r="F149" s="3" t="str">
        <x:v>SİSTEM</x:v>
      </x:c>
      <x:c r="G149" s="3" t="str">
        <x:v>high</x:v>
      </x:c>
      <x:c r="H149" s="3" t="str">
        <x:v>100</x:v>
      </x:c>
      <x:c r="I149" s="3" t="str">
        <x:v>FARKLI_RESMI_SITE_ONCELIKLI</x:v>
      </x:c>
      <x:c r="J149" s="3" t="str">
        <x:v>‎+90 530 312 53 88</x:v>
      </x:c>
      <x:c r="K149" s="8"/>
      <x:c r="L149" s="8" t="str">
        <x:v>https://www.ihsankocak.com.tr/bize-ulasin/</x:v>
      </x:c>
      <x:c r="M149" s="8" t="str">
        <x:v>https://www.ihsankocak.com.tr/bize-ulasin/</x:v>
      </x:c>
      <x:c r="N149" s="8" t="str">
        <x:v>https://www.maktekfuari.com/brand/ihsan-kocak-makina-sanayi-ve-ticaret-as</x:v>
      </x:c>
      <x:c r="O149" s="3" t="str">
        <x:v>8</x:v>
      </x:c>
      <x:c r="P149" s="3" t="str">
        <x:v>812</x:v>
      </x:c>
      <x:c r="Q149" s="8" t="str">
        <x:v>Dirinler; HONOR; DOWELL; OZCO; NIDEC; OKK; Nakamura-Tome; CAMPRO</x:v>
      </x:c>
      <x:c r="R149" s="8" t="str">
        <x:v>CAMPRO; NIDEC CORPORATION; DOWELL - TONG YI MACHINERY INC.; HONOR; OKK CORPORATION; NAKAMURA-TOME PRECISION INDUSTRY CO., LTD.</x:v>
      </x:c>
    </x:row>
    <x:row r="150">
      <x:c r="A150" s="3" t="str">
        <x:v>İMAŞ MAKİNE SAN. A.Ş.</x:v>
      </x:c>
      <x:c r="B150" s="3" t="str">
        <x:v>https://www.imas.com.tr</x:v>
      </x:c>
      <x:c r="C150" s="3" t="str">
        <x:v>yatirimciiliskileri@imas.com.tr</x:v>
      </x:c>
      <x:c r="D150" s="3" t="str">
        <x:v>‎0332 221 40 60</x:v>
      </x:c>
      <x:c r="E150" s="3" t="str">
        <x:v>TAM</x:v>
      </x:c>
      <x:c r="F150" s="3" t="str">
        <x:v>SİSTEM</x:v>
      </x:c>
      <x:c r="G150" s="3" t="str">
        <x:v>high</x:v>
      </x:c>
      <x:c r="H150" s="3" t="str">
        <x:v>100</x:v>
      </x:c>
      <x:c r="I150" s="3" t="str">
        <x:v>FUAR_REFERANSI_YOK</x:v>
      </x:c>
      <x:c r="J150" s="3"/>
      <x:c r="K150" s="8"/>
      <x:c r="L150" s="8" t="str">
        <x:v>https://www.imas.com.tr/tr/iletisim-bilgileri</x:v>
      </x:c>
      <x:c r="M150" s="8" t="str">
        <x:v>https://www.imas.com.tr/tr/iletisim-bilgileri</x:v>
      </x:c>
      <x:c r="N150" s="8" t="str">
        <x:v>https://www.maktekfuari.com/brand/imas-makine-san-as</x:v>
      </x:c>
      <x:c r="O150" s="3" t="str">
        <x:v>2</x:v>
      </x:c>
      <x:c r="P150" s="3" t="str">
        <x:v>206</x:v>
      </x:c>
      <x:c r="Q150" s="8"/>
      <x:c r="R150" s="8"/>
    </x:row>
    <x:row r="151">
      <x:c r="A151" s="3" t="str">
        <x:v>İNGENİUM MAKİNE LİMİTED ŞİRKETİ</x:v>
      </x:c>
      <x:c r="B151" s="3" t="str">
        <x:v>https://ingeniummakine.com.tr</x:v>
      </x:c>
      <x:c r="C151" s="3" t="str">
        <x:v>info@ingeniummakine.com.tr</x:v>
      </x:c>
      <x:c r="D151" s="3" t="str">
        <x:v>‎0554 026 69 54</x:v>
      </x:c>
      <x:c r="E151" s="3" t="str">
        <x:v>TAM</x:v>
      </x:c>
      <x:c r="F151" s="3" t="str">
        <x:v>SİSTEM</x:v>
      </x:c>
      <x:c r="G151" s="3" t="str">
        <x:v>high</x:v>
      </x:c>
      <x:c r="H151" s="3" t="str">
        <x:v>100</x:v>
      </x:c>
      <x:c r="I151" s="3" t="str">
        <x:v>FARKLI_RESMI_SITE_ONCELIKLI</x:v>
      </x:c>
      <x:c r="J151" s="3" t="str">
        <x:v>‎+90 555 588 21 20</x:v>
      </x:c>
      <x:c r="K151" s="8"/>
      <x:c r="L151" s="8" t="str">
        <x:v>https://ingeniummakine.com.tr/tr/iletisim</x:v>
      </x:c>
      <x:c r="M151" s="8" t="str">
        <x:v>https://ingeniummakine.com.tr/tr/iletisim</x:v>
      </x:c>
      <x:c r="N151" s="8" t="str">
        <x:v>https://www.maktekfuari.com/brand/ingenium-makine-limited-sirketi</x:v>
      </x:c>
      <x:c r="O151" s="3" t="str">
        <x:v>12A</x:v>
      </x:c>
      <x:c r="P151" s="3" t="str">
        <x:v>49A</x:v>
      </x:c>
      <x:c r="Q151" s="8"/>
      <x:c r="R151" s="8"/>
    </x:row>
    <x:row r="152">
      <x:c r="A152" s="3" t="str">
        <x:v>İNKOR TEKNİK HIRDAVAT İÇ VE DIŞ TİC. LTD. ŞTİ.</x:v>
      </x:c>
      <x:c r="B152" s="3" t="str">
        <x:v>https://inkore.com.tr</x:v>
      </x:c>
      <x:c r="C152" s="3" t="str">
        <x:v>info@inkore.com.tr</x:v>
      </x:c>
      <x:c r="D152" s="3" t="str">
        <x:v>‎0541 849 77 44</x:v>
      </x:c>
      <x:c r="E152" s="3" t="str">
        <x:v>TAM</x:v>
      </x:c>
      <x:c r="F152" s="3" t="str">
        <x:v>SİSTEM</x:v>
      </x:c>
      <x:c r="G152" s="3" t="str">
        <x:v>medium</x:v>
      </x:c>
      <x:c r="H152" s="3" t="str">
        <x:v>85</x:v>
      </x:c>
      <x:c r="I152" s="3" t="str">
        <x:v>FUAR_REFERANSI_YOK</x:v>
      </x:c>
      <x:c r="J152" s="3"/>
      <x:c r="K152" s="8"/>
      <x:c r="L152" s="8" t="str">
        <x:v>https://inkore.com.tr</x:v>
      </x:c>
      <x:c r="M152" s="8" t="str">
        <x:v>https://inkore.com.tr</x:v>
      </x:c>
      <x:c r="N152" s="8" t="str">
        <x:v>https://www.maktekfuari.com/brand/inkor-teknik-hirdavat-ic-ve-dis-tic-ltd-sti</x:v>
      </x:c>
      <x:c r="O152" s="3" t="str">
        <x:v>12A</x:v>
      </x:c>
      <x:c r="P152" s="3" t="str">
        <x:v>21</x:v>
      </x:c>
      <x:c r="Q152" s="8"/>
      <x:c r="R152" s="8"/>
    </x:row>
    <x:row r="153">
      <x:c r="A153" s="3" t="str">
        <x:v>İNMAK MAKİNA SANAYİ VE TİC A.Ş</x:v>
      </x:c>
      <x:c r="B153" s="3" t="str">
        <x:v>https://www.inmak.com.tr</x:v>
      </x:c>
      <x:c r="C153" s="3" t="str">
        <x:v>bursa@inmak.com.tr</x:v>
      </x:c>
      <x:c r="D153" s="3" t="str">
        <x:v>‎0224 443 76 00</x:v>
      </x:c>
      <x:c r="E153" s="3" t="str">
        <x:v>TAM</x:v>
      </x:c>
      <x:c r="F153" s="3" t="str">
        <x:v>SİSTEM</x:v>
      </x:c>
      <x:c r="G153" s="3" t="str">
        <x:v>medium</x:v>
      </x:c>
      <x:c r="H153" s="3" t="str">
        <x:v>81</x:v>
      </x:c>
      <x:c r="I153" s="3" t="str">
        <x:v>FARKLI_RESMI_SITE_ONCELIKLI</x:v>
      </x:c>
      <x:c r="J153" s="3" t="str">
        <x:v>‎+90 216 444 37 91</x:v>
      </x:c>
      <x:c r="K153" s="8"/>
      <x:c r="L153" s="8" t="str">
        <x:v>https://www.inmak.com.tr</x:v>
      </x:c>
      <x:c r="M153" s="8" t="str">
        <x:v>https://www.inmak.com.tr</x:v>
      </x:c>
      <x:c r="N153" s="8" t="str">
        <x:v>https://www.maktekfuari.com/brand/inmak-makina-sanayi-ve-tic-as</x:v>
      </x:c>
      <x:c r="O153" s="3" t="str">
        <x:v>7</x:v>
      </x:c>
      <x:c r="P153" s="3" t="str">
        <x:v>705</x:v>
      </x:c>
      <x:c r="Q153" s="8" t="str">
        <x:v>MECTRON; MIYANO; CITIZEN</x:v>
      </x:c>
      <x:c r="R153" s="8" t="str">
        <x:v>MECTRON INC; MIYANO MACHINERY; CITIZEN MACHINERY CO LTD</x:v>
      </x:c>
    </x:row>
    <x:row r="154">
      <x:c r="A154" s="3" t="str">
        <x:v>İNOVASYON CNC MAKİNA SANAYİ VE TİCARET LİMİTED ŞİRKETİ</x:v>
      </x:c>
      <x:c r="B154" s="3" t="str">
        <x:v>https://www.inovasyoncnc.com</x:v>
      </x:c>
      <x:c r="C154" s="3" t="str">
        <x:v>iletisim@inovasyoncnc.com</x:v>
      </x:c>
      <x:c r="D154" s="3" t="str">
        <x:v>‎0216 314 41 42</x:v>
      </x:c>
      <x:c r="E154" s="3" t="str">
        <x:v>TAM</x:v>
      </x:c>
      <x:c r="F154" s="3" t="str">
        <x:v>SİSTEM</x:v>
      </x:c>
      <x:c r="G154" s="3" t="str">
        <x:v>medium</x:v>
      </x:c>
      <x:c r="H154" s="3" t="str">
        <x:v>89</x:v>
      </x:c>
      <x:c r="I154" s="3" t="str">
        <x:v>FARKLI_RESMI_SITE_ONCELIKLI</x:v>
      </x:c>
      <x:c r="J154" s="3" t="str">
        <x:v>‎+90 532 601 99 19</x:v>
      </x:c>
      <x:c r="K154" s="8"/>
      <x:c r="L154" s="8" t="str">
        <x:v>https://www.inovasyoncnc.com</x:v>
      </x:c>
      <x:c r="M154" s="8" t="str">
        <x:v>https://www.inovasyoncnc.com</x:v>
      </x:c>
      <x:c r="N154" s="8" t="str">
        <x:v>https://www.maktekfuari.com/brand/inovasyon-cnc-makina-sanayi-ve-ticaret-limited-sirketi</x:v>
      </x:c>
      <x:c r="O154" s="3" t="str">
        <x:v>12</x:v>
      </x:c>
      <x:c r="P154" s="3" t="str">
        <x:v>1234</x:v>
      </x:c>
      <x:c r="Q154" s="8"/>
      <x:c r="R154" s="8" t="str">
        <x:v>DONGGUAN BAOKE PRECISION MACHINERY CO LTD.</x:v>
      </x:c>
    </x:row>
    <x:row r="155">
      <x:c r="A155" s="3" t="str">
        <x:v>İSTANBUL MAKİNA VE OTOM. SİSTEMLERİ SAN. TİC. A.Ş.</x:v>
      </x:c>
      <x:c r="B155" s="3" t="str">
        <x:v>https://www.istanbulmakina.com.tr</x:v>
      </x:c>
      <x:c r="C155" s="3" t="str">
        <x:v>info@istanbulmakina.com.tr</x:v>
      </x:c>
      <x:c r="D155" s="3" t="str">
        <x:v>‎0216 526 65 00</x:v>
      </x:c>
      <x:c r="E155" s="3" t="str">
        <x:v>TAM</x:v>
      </x:c>
      <x:c r="F155" s="3" t="str">
        <x:v>SİSTEM</x:v>
      </x:c>
      <x:c r="G155" s="3" t="str">
        <x:v>medium</x:v>
      </x:c>
      <x:c r="H155" s="3" t="str">
        <x:v>87</x:v>
      </x:c>
      <x:c r="I155" s="3" t="str">
        <x:v>ESLESTI</x:v>
      </x:c>
      <x:c r="J155" s="3" t="str">
        <x:v>‎+90 216 526 65 00</x:v>
      </x:c>
      <x:c r="K155" s="8"/>
      <x:c r="L155" s="8" t="str">
        <x:v>https://www.istanbulmakina.com.tr</x:v>
      </x:c>
      <x:c r="M155" s="8" t="str">
        <x:v>https://www.istanbulmakina.com.tr</x:v>
      </x:c>
      <x:c r="N155" s="8" t="str">
        <x:v>https://www.maktekfuari.com/brand/istanbul-makina-ve-otom-sistemleri-san-tic-as</x:v>
      </x:c>
      <x:c r="O155" s="3" t="str">
        <x:v>7</x:v>
      </x:c>
      <x:c r="P155" s="3" t="str">
        <x:v>701</x:v>
      </x:c>
      <x:c r="Q155" s="8" t="str">
        <x:v>Arion</x:v>
      </x:c>
      <x:c r="R155" s="8"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row>
    <x:row r="156">
      <x:c r="A156" s="13" t="str">
        <x:v>JIUXUN HASSAS MAKİNE SANAYİ LİMİTED ŞİRKETİ</x:v>
      </x:c>
      <x:c r="B156" s="13"/>
      <x:c r="C156" s="13"/>
      <x:c r="D156" s="13" t="str">
        <x:v>‎0536 030 90 88</x:v>
      </x:c>
      <x:c r="E156" s="13" t="str">
        <x:v>KISMI</x:v>
      </x:c>
      <x:c r="F156" s="13" t="str">
        <x:v>MANUEL İSTİSNA</x:v>
      </x:c>
      <x:c r="G156" s="13" t="str">
        <x:v>manual</x:v>
      </x:c>
      <x:c r="H156" s="13"/>
      <x:c r="I156" s="13" t="str">
        <x:v>MANUEL_FUAR_YANDEX_ESLESTI</x:v>
      </x:c>
      <x:c r="J156" s="13" t="str">
        <x:v>‎+90 536 030 90 88</x:v>
      </x:c>
      <x:c r="K156" s="14" t="str">
        <x:v>Tek seferlik kullanıcı kararı: resmî site yok; Yandex'teki telefon fuar profilindeki telefonla eşleşiyor. Sistem doğrulaması sayılmaz.</x:v>
      </x:c>
      <x:c r="L156" s="14"/>
      <x:c r="M156" s="14"/>
      <x:c r="N156" s="14" t="str">
        <x:v>https://www.maktekfuari.com/brand/jiuxun-hassas-makine-sanayi-limited-sirketi</x:v>
      </x:c>
      <x:c r="O156" s="13" t="str">
        <x:v>12A</x:v>
      </x:c>
      <x:c r="P156" s="13" t="str">
        <x:v>46</x:v>
      </x:c>
      <x:c r="Q156" s="14" t="str">
        <x:v>JIUXUN</x:v>
      </x:c>
      <x:c r="R156" s="14"/>
    </x:row>
    <x:row r="157">
      <x:c r="A157" s="3" t="str">
        <x:v>KAHRAMAN KALIP ELEKTRİK VE ELEKTRONİK DONANIMLARI SAN. TİC. LTD. ŞTİ.</x:v>
      </x:c>
      <x:c r="B157" s="3" t="str">
        <x:v>https://www.kahramankalip.com.tr</x:v>
      </x:c>
      <x:c r="C157" s="3" t="str">
        <x:v>info@kahramankalip.com.tr</x:v>
      </x:c>
      <x:c r="D157" s="3" t="str">
        <x:v>‎0212 671 27 32</x:v>
      </x:c>
      <x:c r="E157" s="3" t="str">
        <x:v>TAM</x:v>
      </x:c>
      <x:c r="F157" s="3" t="str">
        <x:v>SİSTEM</x:v>
      </x:c>
      <x:c r="G157" s="3" t="str">
        <x:v>medium</x:v>
      </x:c>
      <x:c r="H157" s="3" t="str">
        <x:v>83</x:v>
      </x:c>
      <x:c r="I157" s="3" t="str">
        <x:v>FARKLI_RESMI_SITE_ONCELIKLI</x:v>
      </x:c>
      <x:c r="J157" s="3" t="str">
        <x:v>‎+90 544 687 17 16</x:v>
      </x:c>
      <x:c r="K157" s="8"/>
      <x:c r="L157" s="8" t="str">
        <x:v>https://www.kahramankalip.com.tr</x:v>
      </x:c>
      <x:c r="M157" s="8" t="str">
        <x:v>https://www.kahramankalip.com.tr</x:v>
      </x:c>
      <x:c r="N157" s="8" t="str">
        <x:v>https://www.maktekfuari.com/brand/kahraman-kalip-elektrik-ve-elektronik-donanimlari-san-tic-ltd-sti</x:v>
      </x:c>
      <x:c r="O157" s="3" t="str">
        <x:v>12A</x:v>
      </x:c>
      <x:c r="P157" s="3" t="str">
        <x:v>49C</x:v>
      </x:c>
      <x:c r="Q157" s="8"/>
      <x:c r="R157" s="8" t="str">
        <x:v>HOWFIT SCIENCE AND TECHNOLOGY CO.LTD.</x:v>
      </x:c>
    </x:row>
    <x:row r="158">
      <x:c r="A158" s="11" t="str">
        <x:v>KALİP TEKNİK KESİCİ TAKIMLAR VE MAKİNA SANAYİ TİCARET LİMİTED ŞİRKETİ</x:v>
      </x:c>
      <x:c r="B158" s="11" t="str">
        <x:v>https://kalipteknik.com.tr/</x:v>
      </x:c>
      <x:c r="C158" s="11" t="str">
        <x:v>info@kalipteknik.com.tr</x:v>
      </x:c>
      <x:c r="D158" s="11" t="str">
        <x:v>‎+90 552 719 30 45</x:v>
      </x:c>
      <x:c r="E158" s="11" t="str">
        <x:v>TAM</x:v>
      </x:c>
      <x:c r="F158" s="11" t="str">
        <x:v>MANUEL WEB DOĞRULAMA</x:v>
      </x:c>
      <x:c r="G158" s="11" t="str">
        <x:v>manual</x:v>
      </x:c>
      <x:c r="H158" s="11"/>
      <x:c r="I158" s="11" t="str">
        <x:v>FARKLI_RESMI_SITE_ONCELIKLI</x:v>
      </x:c>
      <x:c r="J158" s="11" t="str">
        <x:v>‎+90 534 425 30 43</x:v>
      </x:c>
      <x:c r="K158" s="12" t="str">
        <x:v>Resmî site üzerindeki ayırt edici marka/ticari unvan, Türkiye adresi veya fuar telefon eşleşmesiyle kimlik doğrulandı. İletişim yalnız doğrulanan resmî siteden alındı. Kimlik kanıtı: https://kalipteknik.com.tr/home/hakkimizda</x:v>
      </x:c>
      <x:c r="L158" s="12" t="str">
        <x:v>https://kalipteknik.com.tr/home/hakkimizda</x:v>
      </x:c>
      <x:c r="M158" s="12" t="str">
        <x:v>https://kalipteknik.com.tr/home/hakkimizda</x:v>
      </x:c>
      <x:c r="N158" s="12" t="str">
        <x:v>https://www.maktekfuari.com/brand/kalip-teknik-kesici-takimlar-ve-makina-sanayi-ticaret-limited-sirketi</x:v>
      </x:c>
      <x:c r="O158" s="11" t="str">
        <x:v>12A</x:v>
      </x:c>
      <x:c r="P158" s="11" t="str">
        <x:v>25</x:v>
      </x:c>
      <x:c r="Q158" s="12" t="str">
        <x:v>HANSONG M&amp;T CO.; LTD.; DIJET INDUSTRIAL CO.; LTD; NACHREINER – SPANABHEBENDE WERKZEUGE; Ann Way Machine Tools Co.; Ltd.</x:v>
      </x:c>
      <x:c r="R158" s="12" t="str">
        <x:v>HANSONG M&amp;T Co., Ltd.; Ann Way Machine Tools Co., Ltd.; NACHREINER – SPANABHEBENDE WERKZEUGE; DIJET INDUSTRIAL CO., LTD</x:v>
      </x:c>
    </x:row>
    <x:row r="159">
      <x:c r="A159" s="3" t="str">
        <x:v>KAMSAN METAL ELEKT. MAK. SAN. VE TİC. LTD. ŞTİ.</x:v>
      </x:c>
      <x:c r="B159" s="3" t="str">
        <x:v>https://www.kamsanmakina.com</x:v>
      </x:c>
      <x:c r="C159" s="3" t="str">
        <x:v>kamsan@kamsanmakina.com</x:v>
      </x:c>
      <x:c r="D159" s="3" t="str">
        <x:v>‎0224 261 61 70</x:v>
      </x:c>
      <x:c r="E159" s="3" t="str">
        <x:v>TAM</x:v>
      </x:c>
      <x:c r="F159" s="3" t="str">
        <x:v>SİSTEM</x:v>
      </x:c>
      <x:c r="G159" s="3" t="str">
        <x:v>medium</x:v>
      </x:c>
      <x:c r="H159" s="3" t="str">
        <x:v>89</x:v>
      </x:c>
      <x:c r="I159" s="3" t="str">
        <x:v>ESLESTI</x:v>
      </x:c>
      <x:c r="J159" s="3" t="str">
        <x:v>‎+90 224 261 61 70</x:v>
      </x:c>
      <x:c r="K159" s="8"/>
      <x:c r="L159" s="8" t="str">
        <x:v>https://www.kamsanmakina.com</x:v>
      </x:c>
      <x:c r="M159" s="8" t="str">
        <x:v>https://www.kamsanmakina.com</x:v>
      </x:c>
      <x:c r="N159" s="8" t="str">
        <x:v>https://www.maktekfuari.com/brand/kamsan-metal-elekt-mak-san-ve-tic-ltd-sti</x:v>
      </x:c>
      <x:c r="O159" s="3" t="str">
        <x:v>10</x:v>
      </x:c>
      <x:c r="P159" s="3" t="str">
        <x:v>1010</x:v>
      </x:c>
      <x:c r="Q159" s="8"/>
      <x:c r="R159" s="8"/>
    </x:row>
    <x:row r="160">
      <x:c r="A160" s="3" t="str">
        <x:v>KAR METAL MAKİNE SANAYİ VE TİCARET ANONİM ŞİRKETİ</x:v>
      </x:c>
      <x:c r="B160" s="3" t="str">
        <x:v>https://www.karmetal.com.tr</x:v>
      </x:c>
      <x:c r="C160" s="3" t="str">
        <x:v>sales@karmetal.com.tr</x:v>
      </x:c>
      <x:c r="D160" s="3" t="str">
        <x:v>‎0264 276 59 16</x:v>
      </x:c>
      <x:c r="E160" s="3" t="str">
        <x:v>TAM</x:v>
      </x:c>
      <x:c r="F160" s="3" t="str">
        <x:v>SİSTEM</x:v>
      </x:c>
      <x:c r="G160" s="3" t="str">
        <x:v>high</x:v>
      </x:c>
      <x:c r="H160" s="3" t="str">
        <x:v>95</x:v>
      </x:c>
      <x:c r="I160" s="3" t="str">
        <x:v>FARKLI_RESMI_SITE_ONCELIKLI</x:v>
      </x:c>
      <x:c r="J160" s="3" t="str">
        <x:v>‎+90 505 803 71 04</x:v>
      </x:c>
      <x:c r="K160" s="8"/>
      <x:c r="L160" s="8" t="str">
        <x:v>https://www.karmetal.com.tr</x:v>
      </x:c>
      <x:c r="M160" s="8" t="str">
        <x:v>https://www.karmetal.com.tr</x:v>
      </x:c>
      <x:c r="N160" s="8" t="str">
        <x:v>https://www.maktekfuari.com/brand/kar-metal-makine-sanayi-ve-ticaret-anonim-sirketi</x:v>
      </x:c>
      <x:c r="O160" s="3" t="str">
        <x:v>1</x:v>
      </x:c>
      <x:c r="P160" s="3" t="str">
        <x:v>101</x:v>
      </x:c>
      <x:c r="Q160" s="8"/>
      <x:c r="R160" s="8"/>
    </x:row>
    <x:row r="161">
      <x:c r="A161" s="3" t="str">
        <x:v>KAR-TES KESİCİ TAKIMLAR SAN.VE TİC.LTD.ŞTİ.</x:v>
      </x:c>
      <x:c r="B161" s="3" t="str">
        <x:v>https://www.kar-tes.com.tr</x:v>
      </x:c>
      <x:c r="C161" s="3" t="str">
        <x:v>satis@kar-tes.com.tr</x:v>
      </x:c>
      <x:c r="D161" s="3" t="str">
        <x:v>‎0216 451 95 56</x:v>
      </x:c>
      <x:c r="E161" s="3" t="str">
        <x:v>TAM</x:v>
      </x:c>
      <x:c r="F161" s="3" t="str">
        <x:v>SİSTEM</x:v>
      </x:c>
      <x:c r="G161" s="3" t="str">
        <x:v>medium</x:v>
      </x:c>
      <x:c r="H161" s="3" t="str">
        <x:v>85</x:v>
      </x:c>
      <x:c r="I161" s="3" t="str">
        <x:v>FARKLI_RESMI_SITE_ONCELIKLI</x:v>
      </x:c>
      <x:c r="J161" s="3" t="str">
        <x:v>‎+90 212 451 95 56</x:v>
      </x:c>
      <x:c r="K161" s="8"/>
      <x:c r="L161" s="8" t="str">
        <x:v>https://www.kar-tes.com.tr</x:v>
      </x:c>
      <x:c r="M161" s="8" t="str">
        <x:v>https://www.kar-tes.com.tr/iletisim/</x:v>
      </x:c>
      <x:c r="N161" s="8" t="str">
        <x:v>https://www.maktekfuari.com/brand/kar-tes-kesici-takimlar-sanve-ticltdsti</x:v>
      </x:c>
      <x:c r="O161" s="3" t="str">
        <x:v>11</x:v>
      </x:c>
      <x:c r="P161" s="3" t="str">
        <x:v>1151</x:v>
      </x:c>
      <x:c r="Q161" s="8"/>
      <x:c r="R161" s="8" t="str">
        <x:v>Robert Röntgen GmbH &amp; Co. KG; JULIA UTENSILI SRL; KANEFUSA CORPORATION</x:v>
      </x:c>
    </x:row>
    <x:row r="162">
      <x:c r="A162" s="11" t="str">
        <x:v>KELİTE CNC TEKNOLOJİLERİ İTH. İHR. VE SAN. TİC. LTD. ŞTİ.</x:v>
      </x:c>
      <x:c r="B162" s="11" t="str">
        <x:v>https://www.keliteturkey.com</x:v>
      </x:c>
      <x:c r="C162" s="11" t="str">
        <x:v>info@keliteturkey.com</x:v>
      </x:c>
      <x:c r="D162" s="11" t="str">
        <x:v>‎0552 167 73 25</x:v>
      </x:c>
      <x:c r="E162" s="11" t="str">
        <x:v>TAM</x:v>
      </x:c>
      <x:c r="F162" s="11" t="str">
        <x:v>MANUEL WEB DOĞRULAMA</x:v>
      </x:c>
      <x:c r="G162" s="11" t="str">
        <x:v>manual</x:v>
      </x:c>
      <x:c r="H162" s="11"/>
      <x:c r="I162" s="11" t="str">
        <x:v>FUAR_REFERANSI_YOK</x:v>
      </x:c>
      <x:c r="J162" s="11"/>
      <x:c r="K162" s="12" t="str">
        <x:v>Resmî site üzerindeki ayırt edici marka/ticari unvan, Türkiye adresi veya fuar telefon eşleşmesiyle kimlik doğrulandı. İletişim yalnız doğrulanan resmî siteden alındı. Kimlik kanıtı: https://www.keliteturkey.com/</x:v>
      </x:c>
      <x:c r="L162" s="12" t="str">
        <x:v>https://www.keliteturkey.com/</x:v>
      </x:c>
      <x:c r="M162" s="12" t="str">
        <x:v>https://www.keliteturkey.com/</x:v>
      </x:c>
      <x:c r="N162" s="12" t="str">
        <x:v>https://www.maktekfuari.com/brand/kelite-cnc-teknolojileri-ith-ihr-ve-san-tic-ltd-sti</x:v>
      </x:c>
      <x:c r="O162" s="11" t="str">
        <x:v>11</x:v>
      </x:c>
      <x:c r="P162" s="11" t="str">
        <x:v>1176</x:v>
      </x:c>
      <x:c r="Q162" s="12"/>
      <x:c r="R162" s="12"/>
    </x:row>
    <x:row r="163">
      <x:c r="A163" s="3" t="str">
        <x:v>KEMA MAKİNA SAN.VE TİC. LTD.ŞTİ.</x:v>
      </x:c>
      <x:c r="B163" s="3" t="str">
        <x:v>https://www.kema.com.tr</x:v>
      </x:c>
      <x:c r="C163" s="3" t="str">
        <x:v>kema@kema.com.tr</x:v>
      </x:c>
      <x:c r="D163" s="3" t="str">
        <x:v>‎0224 441 37 80</x:v>
      </x:c>
      <x:c r="E163" s="3" t="str">
        <x:v>TAM</x:v>
      </x:c>
      <x:c r="F163" s="3" t="str">
        <x:v>SİSTEM</x:v>
      </x:c>
      <x:c r="G163" s="3" t="str">
        <x:v>medium</x:v>
      </x:c>
      <x:c r="H163" s="3" t="str">
        <x:v>85</x:v>
      </x:c>
      <x:c r="I163" s="3" t="str">
        <x:v>FUAR_REFERANSI_YOK</x:v>
      </x:c>
      <x:c r="J163" s="3"/>
      <x:c r="K163" s="8"/>
      <x:c r="L163" s="8" t="str">
        <x:v>https://www.kema.com.tr//iletisim_formu</x:v>
      </x:c>
      <x:c r="M163" s="8" t="str">
        <x:v>https://www.kema.com.tr//iletisim_formu</x:v>
      </x:c>
      <x:c r="N163" s="8" t="str">
        <x:v>https://www.maktekfuari.com/brand/kema-makina-sanve-tic-ltdsti</x:v>
      </x:c>
      <x:c r="O163" s="3" t="str">
        <x:v>10</x:v>
      </x:c>
      <x:c r="P163" s="3" t="str">
        <x:v>1006</x:v>
      </x:c>
      <x:c r="Q163" s="8"/>
      <x:c r="R163" s="8"/>
    </x:row>
    <x:row r="164">
      <x:c r="A164" s="3" t="str">
        <x:v>KES-TECH MAKİNA İNOVASYON SAN VE TİC.LTD.ŞTİ</x:v>
      </x:c>
      <x:c r="B164" s="3" t="str">
        <x:v>https://www.kes-tech.com</x:v>
      </x:c>
      <x:c r="C164" s="3" t="str">
        <x:v>sales@kes-tech.com</x:v>
      </x:c>
      <x:c r="D164" s="3" t="str">
        <x:v>‎0442 540 02 55</x:v>
      </x:c>
      <x:c r="E164" s="3" t="str">
        <x:v>TAM</x:v>
      </x:c>
      <x:c r="F164" s="3" t="str">
        <x:v>SİSTEM</x:v>
      </x:c>
      <x:c r="G164" s="3" t="str">
        <x:v>high</x:v>
      </x:c>
      <x:c r="H164" s="3" t="str">
        <x:v>100</x:v>
      </x:c>
      <x:c r="I164" s="3" t="str">
        <x:v>ESLESTI</x:v>
      </x:c>
      <x:c r="J164" s="3" t="str">
        <x:v>‎+90 552 654 06 54</x:v>
      </x:c>
      <x:c r="K164" s="8"/>
      <x:c r="L164" s="8" t="str">
        <x:v>https://www.kes-tech.com/iletisim/</x:v>
      </x:c>
      <x:c r="M164" s="8" t="str">
        <x:v>https://www.kes-tech.com/iletisim/</x:v>
      </x:c>
      <x:c r="N164" s="8" t="str">
        <x:v>https://www.maktekfuari.com/brand/kes-tech-makina-inovasyon-san-ve-ticltdsti</x:v>
      </x:c>
      <x:c r="O164" s="3" t="str">
        <x:v>10</x:v>
      </x:c>
      <x:c r="P164" s="3" t="str">
        <x:v>1001</x:v>
      </x:c>
      <x:c r="Q164" s="8"/>
      <x:c r="R164" s="8" t="str">
        <x:v>DYNAMIC MACHINE</x:v>
      </x:c>
    </x:row>
    <x:row r="165">
      <x:c r="A165" s="3" t="str">
        <x:v>KESMAK MAKİNA SAN. VE TİC. LTD. ŞTİ.</x:v>
      </x:c>
      <x:c r="B165" s="3" t="str">
        <x:v>https://www.kesmak.com.tr</x:v>
      </x:c>
      <x:c r="C165" s="3" t="str">
        <x:v>info@kesmak.com</x:v>
      </x:c>
      <x:c r="D165" s="3" t="str">
        <x:v>‎0212 623 00 47</x:v>
      </x:c>
      <x:c r="E165" s="3" t="str">
        <x:v>TAM</x:v>
      </x:c>
      <x:c r="F165" s="3" t="str">
        <x:v>SİSTEM</x:v>
      </x:c>
      <x:c r="G165" s="3" t="str">
        <x:v>medium</x:v>
      </x:c>
      <x:c r="H165" s="3" t="str">
        <x:v>79</x:v>
      </x:c>
      <x:c r="I165" s="3" t="str">
        <x:v>ESLESTI</x:v>
      </x:c>
      <x:c r="J165" s="3" t="str">
        <x:v>‎+90 539 515 91 28</x:v>
      </x:c>
      <x:c r="K165" s="8"/>
      <x:c r="L165" s="8" t="str">
        <x:v>https://www.kesmak.com.tr</x:v>
      </x:c>
      <x:c r="M165" s="8" t="str">
        <x:v>https://www.kesmak.com.tr/iletisim.php</x:v>
      </x:c>
      <x:c r="N165" s="8" t="str">
        <x:v>https://www.maktekfuari.com/brand/kesmak-makina-san-ve-tic-ltd-sti</x:v>
      </x:c>
      <x:c r="O165" s="3" t="str">
        <x:v>2</x:v>
      </x:c>
      <x:c r="P165" s="3" t="str">
        <x:v>204</x:v>
      </x:c>
      <x:c r="Q165" s="8" t="str">
        <x:v>KESMAK</x:v>
      </x:c>
      <x:c r="R165" s="8"/>
    </x:row>
    <x:row r="166">
      <x:c r="A166" s="11" t="str">
        <x:v>KESTAŞ BROŞ TIĞLARI İMALAT SAN. VE TİC. A.Ş.</x:v>
      </x:c>
      <x:c r="B166" s="11" t="str">
        <x:v>http://www.kestas.com.tr/</x:v>
      </x:c>
      <x:c r="C166" s="11" t="str">
        <x:v>isletme@kestas.com.tr</x:v>
      </x:c>
      <x:c r="D166" s="11" t="str">
        <x:v>‎0212 798 28 55</x:v>
      </x:c>
      <x:c r="E166" s="11" t="str">
        <x:v>TAM</x:v>
      </x:c>
      <x:c r="F166" s="11" t="str">
        <x:v>MANUEL WEB DOĞRULAMA</x:v>
      </x:c>
      <x:c r="G166" s="11" t="str">
        <x:v>manual</x:v>
      </x:c>
      <x:c r="H166" s="11"/>
      <x:c r="I166" s="11" t="str">
        <x:v>FARKLI_RESMI_SITE_ONCELIKLI</x:v>
      </x:c>
      <x:c r="J166" s="11" t="str">
        <x:v>‎+90 212 000 00 00</x:v>
      </x:c>
      <x:c r="K166" s="12" t="str">
        <x:v>Resmî site üzerindeki ayırt edici marka/ticari unvan, Türkiye adresi veya fuar telefon eşleşmesiyle kimlik doğrulandı. İletişim yalnız doğrulanan resmî siteden alındı. Kimlik kanıtı: https://www.kestas.com.tr/</x:v>
      </x:c>
      <x:c r="L166" s="12" t="str">
        <x:v>https://www.kestas.com.tr/</x:v>
      </x:c>
      <x:c r="M166" s="12" t="str">
        <x:v>https://www.kestas.com.tr/</x:v>
      </x:c>
      <x:c r="N166" s="12" t="str">
        <x:v>https://www.maktekfuari.com/brand/kestas-bros-tiglari-imalat-san-ve-tic-as</x:v>
      </x:c>
      <x:c r="O166" s="11" t="str">
        <x:v>11</x:v>
      </x:c>
      <x:c r="P166" s="11" t="str">
        <x:v>1102A</x:v>
      </x:c>
      <x:c r="Q166" s="12"/>
      <x:c r="R166" s="12"/>
    </x:row>
    <x:row r="167">
      <x:c r="A167" s="3" t="str">
        <x:v>KOWAY MAKİNA SANAYİ VE TİCARET LİMİTED ŞİRKETİ</x:v>
      </x:c>
      <x:c r="B167" s="3" t="str">
        <x:v>https://kowaymakina.com.tr</x:v>
      </x:c>
      <x:c r="C167" s="3" t="str">
        <x:v>bilgi@kowaymakina.com.tr</x:v>
      </x:c>
      <x:c r="D167" s="3" t="str">
        <x:v>‎0224 908 08 80</x:v>
      </x:c>
      <x:c r="E167" s="3" t="str">
        <x:v>TAM</x:v>
      </x:c>
      <x:c r="F167" s="3" t="str">
        <x:v>SİSTEM</x:v>
      </x:c>
      <x:c r="G167" s="3" t="str">
        <x:v>high</x:v>
      </x:c>
      <x:c r="H167" s="3" t="str">
        <x:v>100</x:v>
      </x:c>
      <x:c r="I167" s="3" t="str">
        <x:v>ESLESTI</x:v>
      </x:c>
      <x:c r="J167" s="3" t="str">
        <x:v>‎+90 224 908 08 80</x:v>
      </x:c>
      <x:c r="K167" s="8"/>
      <x:c r="L167" s="8" t="str">
        <x:v>https://kowaymakina.com.tr</x:v>
      </x:c>
      <x:c r="M167" s="8" t="str">
        <x:v>https://kowaymakina.com.tr</x:v>
      </x:c>
      <x:c r="N167" s="8" t="str">
        <x:v>https://www.maktekfuari.com/brand/koway-makina-sanayi-ve-ticaret-limited-sirketi</x:v>
      </x:c>
      <x:c r="O167" s="3" t="str">
        <x:v>4</x:v>
      </x:c>
      <x:c r="P167" s="3" t="str">
        <x:v>405</x:v>
      </x:c>
      <x:c r="Q167" s="8"/>
      <x:c r="R167" s="8"/>
    </x:row>
    <x:row r="168">
      <x:c r="A168" s="3" t="str">
        <x:v>KÖPRÜ METAL SAN. VE TİC. A.Ş.</x:v>
      </x:c>
      <x:c r="B168" s="3" t="str">
        <x:v>https://www.kopruoren.com.tr</x:v>
      </x:c>
      <x:c r="C168" s="3" t="str">
        <x:v>info@kopruoren.com.tr</x:v>
      </x:c>
      <x:c r="D168" s="3" t="str">
        <x:v>‎0554 755 34 99</x:v>
      </x:c>
      <x:c r="E168" s="3" t="str">
        <x:v>TAM</x:v>
      </x:c>
      <x:c r="F168" s="3" t="str">
        <x:v>SİSTEM</x:v>
      </x:c>
      <x:c r="G168" s="3" t="str">
        <x:v>high</x:v>
      </x:c>
      <x:c r="H168" s="3" t="str">
        <x:v>100</x:v>
      </x:c>
      <x:c r="I168" s="3" t="str">
        <x:v>FUAR_REFERANSI_YOK</x:v>
      </x:c>
      <x:c r="J168" s="3"/>
      <x:c r="K168" s="8"/>
      <x:c r="L168" s="8" t="str">
        <x:v>https://www.kopruoren.com.tr</x:v>
      </x:c>
      <x:c r="M168" s="8" t="str">
        <x:v>https://www.kopruoren.com.tr</x:v>
      </x:c>
      <x:c r="N168" s="8" t="str">
        <x:v>https://www.maktekfuari.com/brand/kopru-metal-san-ve-tic-as</x:v>
      </x:c>
      <x:c r="O168" s="3" t="str">
        <x:v>11A</x:v>
      </x:c>
      <x:c r="P168" s="3" t="str">
        <x:v>02</x:v>
      </x:c>
      <x:c r="Q168" s="8"/>
      <x:c r="R168" s="8"/>
    </x:row>
    <x:row r="169">
      <x:c r="A169" s="3" t="str">
        <x:v>KROMAŞ METAL VE MAKİNA SAN. TİC. LTD. ŞTİ.</x:v>
      </x:c>
      <x:c r="B169" s="3" t="str">
        <x:v>https://www.kromas.com.tr</x:v>
      </x:c>
      <x:c r="C169" s="3" t="str">
        <x:v>info@kromas.com</x:v>
      </x:c>
      <x:c r="D169" s="3" t="str">
        <x:v>‎0212 613 73 50</x:v>
      </x:c>
      <x:c r="E169" s="3" t="str">
        <x:v>TAM</x:v>
      </x:c>
      <x:c r="F169" s="3" t="str">
        <x:v>SİSTEM</x:v>
      </x:c>
      <x:c r="G169" s="3" t="str">
        <x:v>high</x:v>
      </x:c>
      <x:c r="H169" s="3" t="str">
        <x:v>100</x:v>
      </x:c>
      <x:c r="I169" s="3" t="str">
        <x:v>FUAR_REFERANSI_YOK</x:v>
      </x:c>
      <x:c r="J169" s="3"/>
      <x:c r="K169" s="8"/>
      <x:c r="L169" s="8" t="str">
        <x:v>https://www.kromas.com.tr</x:v>
      </x:c>
      <x:c r="M169" s="8" t="str">
        <x:v>https://www.kromas.com.tr/en/iletisim.asp</x:v>
      </x:c>
      <x:c r="N169" s="8" t="str">
        <x:v>https://www.maktekfuari.com/brand/kromas-metal-ve-makina-san-tic-ltd-sti</x:v>
      </x:c>
      <x:c r="O169" s="3" t="str">
        <x:v>2</x:v>
      </x:c>
      <x:c r="P169" s="3" t="str">
        <x:v>222A</x:v>
      </x:c>
      <x:c r="Q169" s="8"/>
      <x:c r="R169" s="8"/>
    </x:row>
    <x:row r="170">
      <x:c r="A170" s="3" t="str">
        <x:v>KULA MAKİNA İMALAT SAN.VE TİC.LTD.ŞTİ.</x:v>
      </x:c>
      <x:c r="B170" s="3" t="str">
        <x:v>https://kula.com.tr</x:v>
      </x:c>
      <x:c r="C170" s="3" t="str">
        <x:v>info@kula.com.tr</x:v>
      </x:c>
      <x:c r="D170" s="3" t="str">
        <x:v>‎0216 313 13 09</x:v>
      </x:c>
      <x:c r="E170" s="3" t="str">
        <x:v>TAM</x:v>
      </x:c>
      <x:c r="F170" s="3" t="str">
        <x:v>SİSTEM</x:v>
      </x:c>
      <x:c r="G170" s="3" t="str">
        <x:v>high</x:v>
      </x:c>
      <x:c r="H170" s="3" t="str">
        <x:v>100</x:v>
      </x:c>
      <x:c r="I170" s="3" t="str">
        <x:v>ESLESTI</x:v>
      </x:c>
      <x:c r="J170" s="3" t="str">
        <x:v>‎+90 312 395 18 18</x:v>
      </x:c>
      <x:c r="K170" s="8"/>
      <x:c r="L170" s="8" t="str">
        <x:v>https://kula.com.tr</x:v>
      </x:c>
      <x:c r="M170" s="8" t="str">
        <x:v>https://kula.com.tr</x:v>
      </x:c>
      <x:c r="N170" s="8" t="str">
        <x:v>https://www.maktekfuari.com/brand/kula-makina-imalat-sanve-ticltdsti</x:v>
      </x:c>
      <x:c r="O170" s="3" t="str">
        <x:v>5</x:v>
      </x:c>
      <x:c r="P170" s="3" t="str">
        <x:v>503 B</x:v>
      </x:c>
      <x:c r="Q170" s="8" t="str">
        <x:v>ARMI; MOTION</x:v>
      </x:c>
      <x:c r="R170" s="8"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row>
    <x:row r="171">
      <x:c r="A171" s="3" t="str">
        <x:v>KUZEY TEKNİK METAL İŞLEME A.Ş.</x:v>
      </x:c>
      <x:c r="B171" s="3" t="str">
        <x:v>https://kuzeytech.com.tr</x:v>
      </x:c>
      <x:c r="C171" s="3" t="str">
        <x:v>info@kuzeyteknik.net</x:v>
      </x:c>
      <x:c r="D171" s="3" t="str">
        <x:v>‎0368 271 57 20</x:v>
      </x:c>
      <x:c r="E171" s="3" t="str">
        <x:v>TAM</x:v>
      </x:c>
      <x:c r="F171" s="3" t="str">
        <x:v>SİSTEM</x:v>
      </x:c>
      <x:c r="G171" s="3" t="str">
        <x:v>high</x:v>
      </x:c>
      <x:c r="H171" s="3" t="str">
        <x:v>100</x:v>
      </x:c>
      <x:c r="I171" s="3" t="str">
        <x:v>FUAR_REFERANSI_YOK</x:v>
      </x:c>
      <x:c r="J171" s="3"/>
      <x:c r="K171" s="8"/>
      <x:c r="L171" s="8" t="str">
        <x:v>https://kuzeytech.com.tr</x:v>
      </x:c>
      <x:c r="M171" s="8" t="str">
        <x:v>https://kuzeytech.com.tr/iletisim/</x:v>
      </x:c>
      <x:c r="N171" s="8" t="str">
        <x:v>https://www.maktekfuari.com/brand/kuzey-teknik-metal-isleme-as</x:v>
      </x:c>
      <x:c r="O171" s="3" t="str">
        <x:v>12A</x:v>
      </x:c>
      <x:c r="P171" s="3" t="str">
        <x:v>35</x:v>
      </x:c>
      <x:c r="Q171" s="8"/>
      <x:c r="R171" s="8"/>
    </x:row>
    <x:row r="172">
      <x:c r="A172" s="3" t="str">
        <x:v>LASERAL END. LAZER SİST. SAN. VE TİC. LTD. ŞTİ.</x:v>
      </x:c>
      <x:c r="B172" s="3" t="str">
        <x:v>https://www.laseral.com.tr</x:v>
      </x:c>
      <x:c r="C172" s="3" t="str">
        <x:v>info@laseral.com.tr</x:v>
      </x:c>
      <x:c r="D172" s="3" t="str">
        <x:v>‎0232 375 89 75</x:v>
      </x:c>
      <x:c r="E172" s="3" t="str">
        <x:v>TAM</x:v>
      </x:c>
      <x:c r="F172" s="3" t="str">
        <x:v>SİSTEM</x:v>
      </x:c>
      <x:c r="G172" s="3" t="str">
        <x:v>high</x:v>
      </x:c>
      <x:c r="H172" s="3" t="str">
        <x:v>93</x:v>
      </x:c>
      <x:c r="I172" s="3" t="str">
        <x:v>ESLESTI</x:v>
      </x:c>
      <x:c r="J172" s="3" t="str">
        <x:v>‎+90 232 375 56 75</x:v>
      </x:c>
      <x:c r="K172" s="8"/>
      <x:c r="L172" s="8" t="str">
        <x:v>https://www.laseral.com.tr</x:v>
      </x:c>
      <x:c r="M172" s="8" t="str">
        <x:v>https://www.laseral.com.tr/iletisim</x:v>
      </x:c>
      <x:c r="N172" s="8" t="str">
        <x:v>https://www.maktekfuari.com/brand/laseral-end-lazer-sist-san-ve-tic-ltd-sti</x:v>
      </x:c>
      <x:c r="O172" s="3" t="str">
        <x:v>2</x:v>
      </x:c>
      <x:c r="P172" s="3" t="str">
        <x:v>227</x:v>
      </x:c>
      <x:c r="Q172" s="8" t="str">
        <x:v>LASERAL</x:v>
      </x:c>
      <x:c r="R172" s="8"/>
    </x:row>
    <x:row r="173">
      <x:c r="A173" s="11" t="str">
        <x:v>LAZERMARKET MARKALAMA KAYNAK YEDEK PARÇA SERVİS KESİM MAKİNA SANAYİ VE TİCARET LİMİTED ŞİRKETİ</x:v>
      </x:c>
      <x:c r="B173" s="11" t="str">
        <x:v>https://www.lazermarket.com/</x:v>
      </x:c>
      <x:c r="C173" s="11" t="str">
        <x:v>info@lazermarket.com</x:v>
      </x:c>
      <x:c r="D173" s="11" t="str">
        <x:v>‎+90 232 375 86 55</x:v>
      </x:c>
      <x:c r="E173" s="11" t="str">
        <x:v>TAM</x:v>
      </x:c>
      <x:c r="F173" s="11" t="str">
        <x:v>MANUEL WEB DOĞRULAMA</x:v>
      </x:c>
      <x:c r="G173" s="11" t="str">
        <x:v>manual</x:v>
      </x:c>
      <x:c r="H173" s="11"/>
      <x:c r="I173" s="11" t="str">
        <x:v>MANUEL_ESLESTI</x:v>
      </x:c>
      <x:c r="J173" s="11" t="str">
        <x:v>‎+90 232 375 86 55</x:v>
      </x:c>
      <x:c r="K173" s="12" t="str">
        <x:v>Resmî site üzerindeki ayırt edici marka/ticari unvan, Türkiye adresi veya fuar telefon eşleşmesiyle kimlik doğrulandı. İletişim yalnız doğrulanan resmî siteden alındı. Kimlik kanıtı: https://lazermarket.com/iletisim/</x:v>
      </x:c>
      <x:c r="L173" s="12" t="str">
        <x:v>https://lazermarket.com/</x:v>
      </x:c>
      <x:c r="M173" s="12" t="str">
        <x:v>https://lazermarket.com/</x:v>
      </x:c>
      <x:c r="N173" s="12" t="str">
        <x:v>https://www.maktekfuari.com/brand/lazermarket-markalama-kaynak-yedek-parca-servis-kesim-makina-sanayi-ve-ticaret-limited-sirketi</x:v>
      </x:c>
      <x:c r="O173" s="11" t="str">
        <x:v>12A</x:v>
      </x:c>
      <x:c r="P173" s="11" t="str">
        <x:v>16</x:v>
      </x:c>
      <x:c r="Q173" s="12" t="str">
        <x:v>LAZERMARKET</x:v>
      </x:c>
      <x:c r="R173" s="12"/>
    </x:row>
    <x:row r="174">
      <x:c r="A174" s="3" t="str">
        <x:v>LİVMAK MAKİNE MÜHENDİSLİK İTH. İHR. SAN. VE TİC. LTD. ŞTİ.</x:v>
      </x:c>
      <x:c r="B174" s="3" t="str">
        <x:v>https://www.livmakina.com.tr</x:v>
      </x:c>
      <x:c r="C174" s="3" t="str">
        <x:v>info@livmakina.com.tr</x:v>
      </x:c>
      <x:c r="D174" s="3" t="str">
        <x:v>‎0352 321 48 88</x:v>
      </x:c>
      <x:c r="E174" s="3" t="str">
        <x:v>TAM</x:v>
      </x:c>
      <x:c r="F174" s="3" t="str">
        <x:v>SİSTEM</x:v>
      </x:c>
      <x:c r="G174" s="3" t="str">
        <x:v>medium</x:v>
      </x:c>
      <x:c r="H174" s="3" t="str">
        <x:v>81</x:v>
      </x:c>
      <x:c r="I174" s="3" t="str">
        <x:v>ESLESTI</x:v>
      </x:c>
      <x:c r="J174" s="3" t="str">
        <x:v>‎+90 535 899 08 06</x:v>
      </x:c>
      <x:c r="K174" s="8"/>
      <x:c r="L174" s="8" t="str">
        <x:v>https://www.livmakina.com.tr</x:v>
      </x:c>
      <x:c r="M174" s="8" t="str">
        <x:v>https://www.livmakina.com.tr</x:v>
      </x:c>
      <x:c r="N174" s="8" t="str">
        <x:v>https://www.maktekfuari.com/brand/livmak-makine-muhendislik-ith-ihr-san-ve-tic-ltd-sti</x:v>
      </x:c>
      <x:c r="O174" s="3" t="str">
        <x:v>2</x:v>
      </x:c>
      <x:c r="P174" s="3" t="str">
        <x:v>225B</x:v>
      </x:c>
      <x:c r="Q174" s="8" t="str">
        <x:v>LİVMAKİNA</x:v>
      </x:c>
      <x:c r="R174" s="8"/>
    </x:row>
    <x:row r="175">
      <x:c r="A175" s="3" t="str">
        <x:v>LOTHBROG MAKİNE LTD.ŞTİ.</x:v>
      </x:c>
      <x:c r="B175" s="3" t="str">
        <x:v>https://lothbrog.com</x:v>
      </x:c>
      <x:c r="C175" s="3" t="str">
        <x:v>ssh@lothbrog.com</x:v>
      </x:c>
      <x:c r="D175" s="3" t="str">
        <x:v>‎0414 085 05 33</x:v>
      </x:c>
      <x:c r="E175" s="3" t="str">
        <x:v>TAM</x:v>
      </x:c>
      <x:c r="F175" s="3" t="str">
        <x:v>SİSTEM</x:v>
      </x:c>
      <x:c r="G175" s="3" t="str">
        <x:v>medium</x:v>
      </x:c>
      <x:c r="H175" s="3" t="str">
        <x:v>79</x:v>
      </x:c>
      <x:c r="I175" s="3" t="str">
        <x:v>ESLESTI</x:v>
      </x:c>
      <x:c r="J175" s="3" t="str">
        <x:v>‎+90 224 908 04 14</x:v>
      </x:c>
      <x:c r="K175" s="8"/>
      <x:c r="L175" s="8" t="str">
        <x:v>https://lothbrog.com/iletisim/</x:v>
      </x:c>
      <x:c r="M175" s="8" t="str">
        <x:v>https://lothbrog.com</x:v>
      </x:c>
      <x:c r="N175" s="8" t="str">
        <x:v>https://www.maktekfuari.com/brand/lothbrog-makine-ltdsti</x:v>
      </x:c>
      <x:c r="O175" s="3" t="str">
        <x:v>11A</x:v>
      </x:c>
      <x:c r="P175" s="3" t="str">
        <x:v>29</x:v>
      </x:c>
      <x:c r="Q175" s="8" t="str">
        <x:v>Lothbrog Makine</x:v>
      </x:c>
      <x:c r="R175" s="8" t="str">
        <x:v>GWEIKE LASER</x:v>
      </x:c>
    </x:row>
    <x:row r="176">
      <x:c r="A176" s="3" t="str">
        <x:v>MAC BENDING DIŞ TİCARET A.Ş.</x:v>
      </x:c>
      <x:c r="B176" s="3" t="str">
        <x:v>https://www.bending.macmachines.com</x:v>
      </x:c>
      <x:c r="C176" s="3" t="str">
        <x:v>info@macbending.com</x:v>
      </x:c>
      <x:c r="D176" s="3" t="str">
        <x:v>‎0224 449 02 02</x:v>
      </x:c>
      <x:c r="E176" s="3" t="str">
        <x:v>TAM</x:v>
      </x:c>
      <x:c r="F176" s="3" t="str">
        <x:v>SİSTEM</x:v>
      </x:c>
      <x:c r="G176" s="3" t="str">
        <x:v>medium</x:v>
      </x:c>
      <x:c r="H176" s="3" t="str">
        <x:v>85</x:v>
      </x:c>
      <x:c r="I176" s="3" t="str">
        <x:v>FUAR_REFERANSI_YOK</x:v>
      </x:c>
      <x:c r="J176" s="3"/>
      <x:c r="K176" s="8"/>
      <x:c r="L176" s="8" t="str">
        <x:v>https://www.bending.macmachines.com</x:v>
      </x:c>
      <x:c r="M176" s="8" t="str">
        <x:v>https://www.bending.macmachines.com</x:v>
      </x:c>
      <x:c r="N176" s="8" t="str">
        <x:v>https://www.maktekfuari.com/brand/mac-bending-dis-ticaret-as</x:v>
      </x:c>
      <x:c r="O176" s="3" t="str">
        <x:v>2</x:v>
      </x:c>
      <x:c r="P176" s="3" t="str">
        <x:v>211</x:v>
      </x:c>
      <x:c r="Q176" s="8"/>
      <x:c r="R176" s="8"/>
    </x:row>
    <x:row r="177">
      <x:c r="A177" s="11" t="str">
        <x:v>MAEN MAKİNE ENDÜSTRİ OTOMOTİV YENİLENEBİLİR ENERJİ İNŞAAT NAKLİYE İMALAT İTHALAT İHRACAT SANAYİ VE TİCARET LİMİTED ŞİRKETİ</x:v>
      </x:c>
      <x:c r="B177" s="11" t="str">
        <x:v>https://www.maen.com.tr/</x:v>
      </x:c>
      <x:c r="C177" s="11" t="str">
        <x:v>info@maen.com.tr</x:v>
      </x:c>
      <x:c r="D177" s="11" t="str">
        <x:v>‎+90 537 273 36 55</x:v>
      </x:c>
      <x:c r="E177" s="11" t="str">
        <x:v>TAM</x:v>
      </x:c>
      <x:c r="F177" s="11" t="str">
        <x:v>MANUEL WEB DOĞRULAMA</x:v>
      </x:c>
      <x:c r="G177" s="11" t="str">
        <x:v>manual</x:v>
      </x:c>
      <x:c r="H177" s="11"/>
      <x:c r="I177" s="11" t="str">
        <x:v>FUAR_REFERANSI_YOK</x:v>
      </x:c>
      <x:c r="J177" s="11"/>
      <x:c r="K177" s="12" t="str">
        <x:v>Resmî site üzerindeki ayırt edici marka/ticari unvan, Türkiye adresi veya fuar telefon eşleşmesiyle kimlik doğrulandı. İletişim yalnız doğrulanan resmî siteden alındı. Kimlik kanıtı: https://www.maen.com.tr/</x:v>
      </x:c>
      <x:c r="L177" s="12" t="str">
        <x:v>https://www.maen.com.tr/</x:v>
      </x:c>
      <x:c r="M177" s="12" t="str">
        <x:v>https://www.maen.com.tr/</x:v>
      </x:c>
      <x:c r="N177" s="12" t="str">
        <x:v>https://www.maktekfuari.com/brand/maen-makine-endustri-otomotiv-yenilenebilir-enerji-insaat-nakliye-imalat-ithalat-ihracat-sanayi-ve-ticaret-limited-sirketi</x:v>
      </x:c>
      <x:c r="O177" s="11" t="str">
        <x:v>12A</x:v>
      </x:c>
      <x:c r="P177" s="11" t="str">
        <x:v>14</x:v>
      </x:c>
      <x:c r="Q177" s="12"/>
      <x:c r="R177" s="12"/>
    </x:row>
    <x:row r="178">
      <x:c r="A178" s="11" t="str">
        <x:v>MAKEL DIŞ TİCARET A.Ş.</x:v>
      </x:c>
      <x:c r="B178" s="11" t="str">
        <x:v>https://www.makel.com.tr</x:v>
      </x:c>
      <x:c r="C178" s="11" t="str">
        <x:v>makel@makel.com.tr</x:v>
      </x:c>
      <x:c r="D178" s="11" t="str">
        <x:v>‎+90 212 689 50 50</x:v>
      </x:c>
      <x:c r="E178" s="11" t="str">
        <x:v>TAM</x:v>
      </x:c>
      <x:c r="F178" s="11" t="str">
        <x:v>MANUEL WEB DOĞRULAMA</x:v>
      </x:c>
      <x:c r="G178" s="11" t="str">
        <x:v>manual</x:v>
      </x:c>
      <x:c r="H178" s="11"/>
      <x:c r="I178" s="11" t="str">
        <x:v>FARKLI_RESMI_SITE_ONCELIKLI</x:v>
      </x:c>
      <x:c r="J178" s="11" t="str">
        <x:v>‎+90 532 774 87 47</x:v>
      </x:c>
      <x:c r="K178" s="12" t="str">
        <x:v>Resmî site üzerindeki ayırt edici marka/ticari unvan, Türkiye adresi veya fuar telefon eşleşmesiyle kimlik doğrulandı. İletişim yalnız doğrulanan resmî siteden alındı. Kimlik kanıtı: https://www.makel.com.tr/tr/makel-gizlilik-politikasi</x:v>
      </x:c>
      <x:c r="L178" s="12" t="str">
        <x:v>https://www.makel.com.tr/tr/iletisim</x:v>
      </x:c>
      <x:c r="M178" s="12" t="str">
        <x:v>https://www.makel.com.tr/tr/iletisim</x:v>
      </x:c>
      <x:c r="N178" s="12" t="str">
        <x:v>https://www.maktekfuari.com/brand/makel-dis-ticaret-as</x:v>
      </x:c>
      <x:c r="O178" s="11" t="str">
        <x:v>5</x:v>
      </x:c>
      <x:c r="P178" s="11" t="str">
        <x:v>515</x:v>
      </x:c>
      <x:c r="Q178" s="12"/>
      <x:c r="R178" s="12"/>
    </x:row>
    <x:row r="179">
      <x:c r="A179" s="3" t="str">
        <x:v>MAKİNA TAKIM ENDÜSTRİSİ A.Ş.</x:v>
      </x:c>
      <x:c r="B179" s="3" t="str">
        <x:v>https://makinatakim.com.tr</x:v>
      </x:c>
      <x:c r="C179" s="3" t="str">
        <x:v>info@makinatakim.com.tr</x:v>
      </x:c>
      <x:c r="D179" s="3" t="str">
        <x:v>‎0262 744 18 80</x:v>
      </x:c>
      <x:c r="E179" s="3" t="str">
        <x:v>TAM</x:v>
      </x:c>
      <x:c r="F179" s="3" t="str">
        <x:v>SİSTEM</x:v>
      </x:c>
      <x:c r="G179" s="3" t="str">
        <x:v>high</x:v>
      </x:c>
      <x:c r="H179" s="3" t="str">
        <x:v>100</x:v>
      </x:c>
      <x:c r="I179" s="3" t="str">
        <x:v>ESLESTI</x:v>
      </x:c>
      <x:c r="J179" s="3" t="str">
        <x:v>‎+90 262 744 18 80</x:v>
      </x:c>
      <x:c r="K179" s="8"/>
      <x:c r="L179" s="8" t="str">
        <x:v>https://makinatakim.com.tr</x:v>
      </x:c>
      <x:c r="M179" s="8" t="str">
        <x:v>https://makinatakim.com.tr</x:v>
      </x:c>
      <x:c r="N179" s="8" t="str">
        <x:v>https://www.maktekfuari.com/brand/makina-takim-endustrisi-as</x:v>
      </x:c>
      <x:c r="O179" s="3" t="str">
        <x:v>11</x:v>
      </x:c>
      <x:c r="P179" s="3" t="str">
        <x:v>1120</x:v>
      </x:c>
      <x:c r="Q179" s="8"/>
      <x:c r="R179" s="8"/>
    </x:row>
    <x:row r="180">
      <x:c r="A180" s="3" t="str">
        <x:v>MANUS YAZILIM MAK. ELEKTRONİK DAN. MÜH. SAN. TİC. A.Ş.</x:v>
      </x:c>
      <x:c r="B180" s="3" t="str">
        <x:v>https://www.manusnc.com</x:v>
      </x:c>
      <x:c r="C180" s="3" t="str">
        <x:v>info@manusnc.com</x:v>
      </x:c>
      <x:c r="D180" s="3" t="str">
        <x:v>‎0312 210 18 14</x:v>
      </x:c>
      <x:c r="E180" s="3" t="str">
        <x:v>TAM</x:v>
      </x:c>
      <x:c r="F180" s="3" t="str">
        <x:v>SİSTEM</x:v>
      </x:c>
      <x:c r="G180" s="3" t="str">
        <x:v>medium</x:v>
      </x:c>
      <x:c r="H180" s="3" t="str">
        <x:v>79</x:v>
      </x:c>
      <x:c r="I180" s="3" t="str">
        <x:v>ESLESTI</x:v>
      </x:c>
      <x:c r="J180" s="3" t="str">
        <x:v>‎+90 312 210 18 14</x:v>
      </x:c>
      <x:c r="K180" s="8"/>
      <x:c r="L180" s="8" t="str">
        <x:v>https://www.manusnc.com</x:v>
      </x:c>
      <x:c r="M180" s="8" t="str">
        <x:v>https://www.manusnc.com</x:v>
      </x:c>
      <x:c r="N180" s="8" t="str">
        <x:v>https://www.maktekfuari.com/brand/manus-yazilim-mak-elektronik-dan-muh-san-tic-as</x:v>
      </x:c>
      <x:c r="O180" s="3" t="str">
        <x:v>12</x:v>
      </x:c>
      <x:c r="P180" s="3" t="str">
        <x:v>1211B</x:v>
      </x:c>
      <x:c r="Q180" s="8"/>
      <x:c r="R180" s="8"/>
    </x:row>
    <x:row r="181">
      <x:c r="A181" s="3" t="str">
        <x:v>MASTER MAKİNE TARIM VE GIDA ÜRÜN. SAN. TİC.LTD.ŞTİ.</x:v>
      </x:c>
      <x:c r="B181" s="3" t="str">
        <x:v>https://www.master-makina.com</x:v>
      </x:c>
      <x:c r="C181" s="3" t="str">
        <x:v>info@master-makina.com.tr</x:v>
      </x:c>
      <x:c r="D181" s="3" t="str">
        <x:v>‎0216 352 00 32</x:v>
      </x:c>
      <x:c r="E181" s="3" t="str">
        <x:v>TAM</x:v>
      </x:c>
      <x:c r="F181" s="3" t="str">
        <x:v>SİSTEM</x:v>
      </x:c>
      <x:c r="G181" s="3" t="str">
        <x:v>medium</x:v>
      </x:c>
      <x:c r="H181" s="3" t="str">
        <x:v>83</x:v>
      </x:c>
      <x:c r="I181" s="3" t="str">
        <x:v>ESLESTI</x:v>
      </x:c>
      <x:c r="J181" s="3" t="str">
        <x:v>‎+90 216 352 00 32</x:v>
      </x:c>
      <x:c r="K181" s="8"/>
      <x:c r="L181" s="8" t="str">
        <x:v>https://www.master-makina.com</x:v>
      </x:c>
      <x:c r="M181" s="8" t="str">
        <x:v>https://www.master-makina.com</x:v>
      </x:c>
      <x:c r="N181" s="8" t="str">
        <x:v>https://www.maktekfuari.com/brand/master-makine-tarim-ve-gida-urun-san-ticltdsti</x:v>
      </x:c>
      <x:c r="O181" s="3" t="str">
        <x:v>6</x:v>
      </x:c>
      <x:c r="P181" s="3" t="str">
        <x:v>613</x:v>
      </x:c>
      <x:c r="Q181" s="8"/>
      <x:c r="R181" s="8" t="str">
        <x:v>KNOLL Maschinenbau GmbH; AR Filtazioni S.R.L.</x:v>
      </x:c>
    </x:row>
    <x:row r="182">
      <x:c r="A182" s="3" t="str">
        <x:v>MASTER TEKNİK MAKİNA MÜH.SAN.TİC.LTD.ŞTİ</x:v>
      </x:c>
      <x:c r="B182" s="3" t="str">
        <x:v>https://www.masterteknikmakina.com</x:v>
      </x:c>
      <x:c r="C182" s="3" t="str">
        <x:v>satis@masterteknikmakina.com</x:v>
      </x:c>
      <x:c r="D182" s="3" t="str">
        <x:v>‎0224 334 06 83</x:v>
      </x:c>
      <x:c r="E182" s="3" t="str">
        <x:v>TAM</x:v>
      </x:c>
      <x:c r="F182" s="3" t="str">
        <x:v>SİSTEM</x:v>
      </x:c>
      <x:c r="G182" s="3" t="str">
        <x:v>high</x:v>
      </x:c>
      <x:c r="H182" s="3" t="str">
        <x:v>100</x:v>
      </x:c>
      <x:c r="I182" s="3" t="str">
        <x:v>FUAR_REFERANSI_YOK</x:v>
      </x:c>
      <x:c r="J182" s="3"/>
      <x:c r="K182" s="8"/>
      <x:c r="L182" s="8" t="str">
        <x:v>https://www.masterteknikmakina.com</x:v>
      </x:c>
      <x:c r="M182" s="8" t="str">
        <x:v>https://www.masterteknikmakina.com</x:v>
      </x:c>
      <x:c r="N182" s="8" t="str">
        <x:v>https://www.maktekfuari.com/brand/master-teknik-makina-muhsanticltdsti</x:v>
      </x:c>
      <x:c r="O182" s="3" t="str">
        <x:v>11A</x:v>
      </x:c>
      <x:c r="P182" s="3" t="str">
        <x:v>01</x:v>
      </x:c>
      <x:c r="Q182" s="8"/>
      <x:c r="R182" s="8"/>
    </x:row>
    <x:row r="183">
      <x:c r="A183" s="11" t="str">
        <x:v>MAYIS TASARIM SELÇUK YILDIRIM</x:v>
      </x:c>
      <x:c r="B183" s="11" t="str">
        <x:v>https://mayistasarim.com/</x:v>
      </x:c>
      <x:c r="C183" s="11" t="str">
        <x:v>info@mayistasarim.com</x:v>
      </x:c>
      <x:c r="D183" s="11" t="str">
        <x:v>‎+90 212 674 10 67</x:v>
      </x:c>
      <x:c r="E183" s="11" t="str">
        <x:v>TAM</x:v>
      </x:c>
      <x:c r="F183" s="11" t="str">
        <x:v>MANUEL WEB DOĞRULAMA</x:v>
      </x:c>
      <x:c r="G183" s="11" t="str">
        <x:v>manual</x:v>
      </x:c>
      <x:c r="H183" s="11"/>
      <x:c r="I183" s="11" t="str">
        <x:v>MANUEL_ESLESTI</x:v>
      </x:c>
      <x:c r="J183" s="11" t="str">
        <x:v>‎+90 212 674 10 67</x:v>
      </x:c>
      <x:c r="K183" s="12" t="str">
        <x:v>Resmî site üzerindeki ayırt edici marka/ticari unvan, Türkiye adresi veya fuar telefon eşleşmesiyle kimlik doğrulandı. İletişim yalnız doğrulanan resmî siteden alındı. Kimlik kanıtı: https://mayistasarim.com/</x:v>
      </x:c>
      <x:c r="L183" s="12" t="str">
        <x:v>https://mayistasarim.com/</x:v>
      </x:c>
      <x:c r="M183" s="12" t="str">
        <x:v>https://mayistasarim.com/</x:v>
      </x:c>
      <x:c r="N183" s="12" t="str">
        <x:v>https://www.maktekfuari.com/brand/mayis-tasarim-selcuk-yildirim</x:v>
      </x:c>
      <x:c r="O183" s="11" t="str">
        <x:v>12</x:v>
      </x:c>
      <x:c r="P183" s="11" t="str">
        <x:v>1213</x:v>
      </x:c>
      <x:c r="Q183" s="12"/>
      <x:c r="R183" s="12" t="str">
        <x:v>ZG Technology; Uniz; OpenTech3D; Hexagon; Carveco</x:v>
      </x:c>
    </x:row>
    <x:row r="184">
      <x:c r="A184" s="3" t="str">
        <x:v>MB TEKNİK KESİCİ TAKIMLAR LTD. ŞTİ.</x:v>
      </x:c>
      <x:c r="B184" s="3" t="str">
        <x:v>https://www.mbteknik.com.tr</x:v>
      </x:c>
      <x:c r="C184" s="3" t="str">
        <x:v>info@mbteknik.com.tr</x:v>
      </x:c>
      <x:c r="D184" s="3" t="str">
        <x:v>‎0532 616 03 79</x:v>
      </x:c>
      <x:c r="E184" s="3" t="str">
        <x:v>TAM</x:v>
      </x:c>
      <x:c r="F184" s="3" t="str">
        <x:v>SİSTEM</x:v>
      </x:c>
      <x:c r="G184" s="3" t="str">
        <x:v>medium</x:v>
      </x:c>
      <x:c r="H184" s="3" t="str">
        <x:v>79</x:v>
      </x:c>
      <x:c r="I184" s="3" t="str">
        <x:v>ESLESTI</x:v>
      </x:c>
      <x:c r="J184" s="3" t="str">
        <x:v>‎+90 532 616 03 79</x:v>
      </x:c>
      <x:c r="K184" s="8"/>
      <x:c r="L184" s="8" t="str">
        <x:v>https://www.mbteknik.com.tr</x:v>
      </x:c>
      <x:c r="M184" s="8" t="str">
        <x:v>https://www.mbteknik.com.tr</x:v>
      </x:c>
      <x:c r="N184" s="8" t="str">
        <x:v>https://www.maktekfuari.com/brand/mb-teknik-kesici-takimlar-ltd-sti</x:v>
      </x:c>
      <x:c r="O184" s="3" t="str">
        <x:v>12A</x:v>
      </x:c>
      <x:c r="P184" s="3" t="str">
        <x:v>01</x:v>
      </x:c>
      <x:c r="Q184" s="8"/>
      <x:c r="R184" s="8"/>
    </x:row>
    <x:row r="185">
      <x:c r="A185" s="11" t="str">
        <x:v>MECHATRON METAL MAKİNA SAN. VE TİC. A.Ş.</x:v>
      </x:c>
      <x:c r="B185" s="11" t="str">
        <x:v>https://mechatron.com.tr/</x:v>
      </x:c>
      <x:c r="C185" s="11" t="str">
        <x:v>info@mechatron.com.tr</x:v>
      </x:c>
      <x:c r="D185" s="11" t="str">
        <x:v>‎+90 539 839 41 33</x:v>
      </x:c>
      <x:c r="E185" s="11" t="str">
        <x:v>TAM</x:v>
      </x:c>
      <x:c r="F185" s="11" t="str">
        <x:v>MANUEL WEB DOĞRULAMA</x:v>
      </x:c>
      <x:c r="G185" s="11" t="str">
        <x:v>manual</x:v>
      </x:c>
      <x:c r="H185" s="11"/>
      <x:c r="I185" s="11" t="str">
        <x:v>MANUEL_ESLESTI</x:v>
      </x:c>
      <x:c r="J185" s="11" t="str">
        <x:v>‎+90 539 839 41 33</x:v>
      </x:c>
      <x:c r="K185" s="12" t="str">
        <x:v>Resmî site üzerindeki ayırt edici marka/ticari unvan, Türkiye adresi veya fuar telefon eşleşmesiyle kimlik doğrulandı. İletişim yalnız doğrulanan resmî siteden alındı. Kimlik kanıtı: https://mechatron.com.tr/</x:v>
      </x:c>
      <x:c r="L185" s="12" t="str">
        <x:v>https://mechatron.com.tr/</x:v>
      </x:c>
      <x:c r="M185" s="12" t="str">
        <x:v>https://mechatron.com.tr/</x:v>
      </x:c>
      <x:c r="N185" s="12" t="str">
        <x:v>https://www.maktekfuari.com/brand/mechatron-metal-makina-san-ve-tic-as</x:v>
      </x:c>
      <x:c r="O185" s="11" t="str">
        <x:v>11A</x:v>
      </x:c>
      <x:c r="P185" s="11" t="str">
        <x:v>47</x:v>
      </x:c>
      <x:c r="Q185" s="12"/>
      <x:c r="R185" s="12"/>
    </x:row>
    <x:row r="186">
      <x:c r="A186" s="3" t="str">
        <x:v>MEGA ELEKTRONİK VE TALAŞLI İMALAT MAK. TİC. A.Ş.</x:v>
      </x:c>
      <x:c r="B186" s="3" t="str">
        <x:v>https://megaelektronik.com.tr</x:v>
      </x:c>
      <x:c r="C186" s="3" t="str">
        <x:v>office@romegatrade.ro</x:v>
      </x:c>
      <x:c r="D186" s="3" t="str">
        <x:v>‎0312 385 39 91</x:v>
      </x:c>
      <x:c r="E186" s="3" t="str">
        <x:v>TAM</x:v>
      </x:c>
      <x:c r="F186" s="3" t="str">
        <x:v>SİSTEM</x:v>
      </x:c>
      <x:c r="G186" s="3" t="str">
        <x:v>high</x:v>
      </x:c>
      <x:c r="H186" s="3" t="str">
        <x:v>100</x:v>
      </x:c>
      <x:c r="I186" s="3" t="str">
        <x:v>ESLESTI</x:v>
      </x:c>
      <x:c r="J186" s="3" t="str">
        <x:v>‎+90 216 428 54 41</x:v>
      </x:c>
      <x:c r="K186" s="8"/>
      <x:c r="L186" s="8" t="str">
        <x:v>https://megaelektronik.com.tr/iletisim/</x:v>
      </x:c>
      <x:c r="M186" s="8" t="str">
        <x:v>https://megaelektronik.com.tr/iletisim/</x:v>
      </x:c>
      <x:c r="N186" s="8" t="str">
        <x:v>https://www.maktekfuari.com/brand/mega-elektronik-ve-talasli-imalat-mak-tic-as</x:v>
      </x:c>
      <x:c r="O186" s="3" t="str">
        <x:v>8</x:v>
      </x:c>
      <x:c r="P186" s="3" t="str">
        <x:v>801/807</x:v>
      </x:c>
      <x:c r="Q186" s="8"/>
      <x:c r="R186" s="8" t="str">
        <x:v>DN SOLUTIONS; SMG Gear Cutting</x:v>
      </x:c>
    </x:row>
    <x:row r="187">
      <x:c r="A187" s="3" t="str">
        <x:v>MEHMET ÖZEN MAKİNE SAN. VE TİC. A.Ş.</x:v>
      </x:c>
      <x:c r="B187" s="3" t="str">
        <x:v>https://mehmetozen.dev</x:v>
      </x:c>
      <x:c r="C187" s="3" t="str">
        <x:v>mehmetozen.dev@gmail.com</x:v>
      </x:c>
      <x:c r="D187" s="3"/>
      <x:c r="E187" s="3" t="str">
        <x:v>KISMI</x:v>
      </x:c>
      <x:c r="F187" s="3" t="str">
        <x:v>SİSTEM</x:v>
      </x:c>
      <x:c r="G187" s="3" t="str">
        <x:v>high</x:v>
      </x:c>
      <x:c r="H187" s="3" t="str">
        <x:v>100</x:v>
      </x:c>
      <x:c r="I187" s="3" t="str">
        <x:v>RESMI_SITEDE_TELEFON_YOK</x:v>
      </x:c>
      <x:c r="J187" s="3"/>
      <x:c r="K187" s="8"/>
      <x:c r="L187" s="8" t="str">
        <x:v>https://mehmetozen.dev/about</x:v>
      </x:c>
      <x:c r="M187" s="8"/>
      <x:c r="N187" s="8" t="str">
        <x:v>https://www.maktekfuari.com/brand/mehmet-ozen-makine-san-ve-tic-as</x:v>
      </x:c>
      <x:c r="O187" s="3" t="str">
        <x:v>2</x:v>
      </x:c>
      <x:c r="P187" s="3" t="str">
        <x:v>208</x:v>
      </x:c>
      <x:c r="Q187" s="8"/>
      <x:c r="R187" s="8"/>
    </x:row>
    <x:row r="188">
      <x:c r="A188" s="3" t="str">
        <x:v>MEK HİDROLİK MAKİNE MÜHENDİSLİK TEKSTİL İNŞAAT VE TİC. LTD. ŞTİ.</x:v>
      </x:c>
      <x:c r="B188" s="3" t="str">
        <x:v>http://mektekstil.com.tr</x:v>
      </x:c>
      <x:c r="C188" s="3" t="str">
        <x:v>info@mektekstil.com.tr</x:v>
      </x:c>
      <x:c r="D188" s="3" t="str">
        <x:v>‎0533 130 66 06</x:v>
      </x:c>
      <x:c r="E188" s="3" t="str">
        <x:v>TAM</x:v>
      </x:c>
      <x:c r="F188" s="3" t="str">
        <x:v>SİSTEM</x:v>
      </x:c>
      <x:c r="G188" s="3" t="str">
        <x:v>high</x:v>
      </x:c>
      <x:c r="H188" s="3" t="str">
        <x:v>100</x:v>
      </x:c>
      <x:c r="I188" s="3" t="str">
        <x:v>FUAR_REFERANSI_YOK</x:v>
      </x:c>
      <x:c r="J188" s="3"/>
      <x:c r="K188" s="8"/>
      <x:c r="L188" s="8" t="str">
        <x:v>http://mektekstil.com.tr</x:v>
      </x:c>
      <x:c r="M188" s="8" t="str">
        <x:v>http://mektekstil.com.tr</x:v>
      </x:c>
      <x:c r="N188" s="8" t="str">
        <x:v>https://www.maktekfuari.com/brand/mek-hidrolik-makine-muhendislik-tekstil-insaat-ve-tic-ltd-sti</x:v>
      </x:c>
      <x:c r="O188" s="3" t="str">
        <x:v>12A</x:v>
      </x:c>
      <x:c r="P188" s="3" t="str">
        <x:v>50D</x:v>
      </x:c>
      <x:c r="Q188" s="8"/>
      <x:c r="R188" s="8"/>
    </x:row>
    <x:row r="189">
      <x:c r="A189" s="11" t="str">
        <x:v>MEKOTEK MAKİNE SAN VE TİC. A.Ş.</x:v>
      </x:c>
      <x:c r="B189" s="11" t="str">
        <x:v>https://www.mekotek.com.tr</x:v>
      </x:c>
      <x:c r="C189" s="11"/>
      <x:c r="D189" s="11" t="str">
        <x:v>‎+90 533 713 34 44</x:v>
      </x:c>
      <x:c r="E189" s="11" t="str">
        <x:v>KISMI</x:v>
      </x:c>
      <x:c r="F189" s="11" t="str">
        <x:v>MANUEL WEB DOĞRULAMA</x:v>
      </x:c>
      <x:c r="G189" s="11" t="str">
        <x:v>manual</x:v>
      </x:c>
      <x:c r="H189" s="11"/>
      <x:c r="I189" s="11" t="str">
        <x:v>FUAR_REFERANSI_YOK</x:v>
      </x:c>
      <x:c r="J189" s="11"/>
      <x:c r="K189" s="12" t="str">
        <x:v>Resmî site üzerindeki ayırt edici marka/ticari unvan, Türkiye adresi veya fuar telefon eşleşmesiyle kimlik doğrulandı. İletişim yalnız doğrulanan resmî siteden alındı. Kimlik kanıtı: https://www.mekotek.com.tr/</x:v>
      </x:c>
      <x:c r="L189" s="12"/>
      <x:c r="M189" s="12" t="str">
        <x:v>https://www.mekotek.com.tr/</x:v>
      </x:c>
      <x:c r="N189" s="12" t="str">
        <x:v>https://www.maktekfuari.com/brand/mekotek-makine-san-ve-tic-as</x:v>
      </x:c>
      <x:c r="O189" s="11" t="str">
        <x:v>11A</x:v>
      </x:c>
      <x:c r="P189" s="11" t="str">
        <x:v>30</x:v>
      </x:c>
      <x:c r="Q189" s="12"/>
      <x:c r="R189" s="12"/>
    </x:row>
    <x:row r="190">
      <x:c r="A190" s="3" t="str">
        <x:v>MERT SARF MALZEME VE MAKİNA SANAYİ TİC. LTD. ŞTİ.</x:v>
      </x:c>
      <x:c r="B190" s="3" t="str">
        <x:v>https://mert-makine.com</x:v>
      </x:c>
      <x:c r="C190" s="3" t="str">
        <x:v>info@mert-makine.com</x:v>
      </x:c>
      <x:c r="D190" s="3" t="str">
        <x:v>‎0212 567 63 78</x:v>
      </x:c>
      <x:c r="E190" s="3" t="str">
        <x:v>TAM</x:v>
      </x:c>
      <x:c r="F190" s="3" t="str">
        <x:v>SİSTEM</x:v>
      </x:c>
      <x:c r="G190" s="3" t="str">
        <x:v>medium</x:v>
      </x:c>
      <x:c r="H190" s="3" t="str">
        <x:v>81</x:v>
      </x:c>
      <x:c r="I190" s="3" t="str">
        <x:v>ESLESTI</x:v>
      </x:c>
      <x:c r="J190" s="3" t="str">
        <x:v>‎+90 212 567 63 78</x:v>
      </x:c>
      <x:c r="K190" s="8"/>
      <x:c r="L190" s="8" t="str">
        <x:v>https://mert-makine.com</x:v>
      </x:c>
      <x:c r="M190" s="8" t="str">
        <x:v>https://mert-makine.com</x:v>
      </x:c>
      <x:c r="N190" s="8" t="str">
        <x:v>https://www.maktekfuari.com/brand/mert-sarf-malzeme-ve-makina-sanayi-tic-ltd-sti</x:v>
      </x:c>
      <x:c r="O190" s="3" t="str">
        <x:v>1</x:v>
      </x:c>
      <x:c r="P190" s="3" t="str">
        <x:v>103</x:v>
      </x:c>
      <x:c r="Q190" s="8" t="str">
        <x:v>MERT SARF MALZEMELERİ</x:v>
      </x:c>
      <x:c r="R190" s="8" t="str">
        <x:v>STM SAINT MACHINERY; SINICO; WOOYOUNG INDUSTRY CO.,LTD; IWATA SAW MFG CO., LTD.; LX Cutting Machine</x:v>
      </x:c>
    </x:row>
    <x:row r="191">
      <x:c r="A191" s="11" t="str">
        <x:v>MERTA PREFABRİK VE MAK SAN VE TİC LTD ŞTİ</x:v>
      </x:c>
      <x:c r="B191" s="11" t="str">
        <x:v>https://www.mertaplus.com</x:v>
      </x:c>
      <x:c r="C191" s="11" t="str">
        <x:v>satis@mertaend.com</x:v>
      </x:c>
      <x:c r="D191" s="11" t="str">
        <x:v>‎+90 232 467 16 16</x:v>
      </x:c>
      <x:c r="E191" s="11" t="str">
        <x:v>TAM</x:v>
      </x:c>
      <x:c r="F191" s="11" t="str">
        <x:v>MANUEL WEB DOĞRULAMA</x:v>
      </x:c>
      <x:c r="G191" s="11" t="str">
        <x:v>manual</x:v>
      </x:c>
      <x:c r="H191" s="11"/>
      <x:c r="I191" s="11" t="str">
        <x:v>FARKLI_RESMI_SITE_ONCELIKLI</x:v>
      </x:c>
      <x:c r="J191" s="11" t="str">
        <x:v>‎+90 535 390 19 59</x:v>
      </x:c>
      <x:c r="K191" s="12" t="str">
        <x:v>Resmî site üzerindeki ayırt edici marka/ticari unvan, Türkiye adresi veya fuar telefon eşleşmesiyle kimlik doğrulandı. İletişim yalnız doğrulanan resmî siteden alındı. Kimlik kanıtı: https://mertaplus.com.tr/</x:v>
      </x:c>
      <x:c r="L191" s="12" t="str">
        <x:v>https://mertaplus.com.tr/</x:v>
      </x:c>
      <x:c r="M191" s="12" t="str">
        <x:v>https://mertaplus.com.tr/</x:v>
      </x:c>
      <x:c r="N191" s="12" t="str">
        <x:v>https://www.maktekfuari.com/brand/merta-prefabrik-ve-mak-san-ve-tic-ltd-sti</x:v>
      </x:c>
      <x:c r="O191" s="11" t="str">
        <x:v>6</x:v>
      </x:c>
      <x:c r="P191" s="11" t="str">
        <x:v>620</x:v>
      </x:c>
      <x:c r="Q191" s="12"/>
      <x:c r="R191" s="12" t="str">
        <x:v>Hoffmann; Mixtron; Exomist; Seim</x:v>
      </x:c>
    </x:row>
    <x:row r="192">
      <x:c r="A192" s="3" t="str">
        <x:v>METROPOL SOFT BİLGİ TEKN. SAN. VE TİC. LTD. ŞTİ.</x:v>
      </x:c>
      <x:c r="B192" s="3" t="str">
        <x:v>https://www.metropolsoft.com</x:v>
      </x:c>
      <x:c r="C192" s="3" t="str">
        <x:v>info@metropolsoft.com</x:v>
      </x:c>
      <x:c r="D192" s="3" t="str">
        <x:v>‎0216 466 67 70</x:v>
      </x:c>
      <x:c r="E192" s="3" t="str">
        <x:v>TAM</x:v>
      </x:c>
      <x:c r="F192" s="3" t="str">
        <x:v>SİSTEM</x:v>
      </x:c>
      <x:c r="G192" s="3" t="str">
        <x:v>medium</x:v>
      </x:c>
      <x:c r="H192" s="3" t="str">
        <x:v>87</x:v>
      </x:c>
      <x:c r="I192" s="3" t="str">
        <x:v>ESLESTI</x:v>
      </x:c>
      <x:c r="J192" s="3" t="str">
        <x:v>‎+90 216 466 67 70</x:v>
      </x:c>
      <x:c r="K192" s="8"/>
      <x:c r="L192" s="8" t="str">
        <x:v>https://www.metropolsoft.com</x:v>
      </x:c>
      <x:c r="M192" s="8" t="str">
        <x:v>https://www.metropolsoft.com</x:v>
      </x:c>
      <x:c r="N192" s="8" t="str">
        <x:v>https://www.maktekfuari.com/brand/metropol-soft-bilgi-tekn-san-ve-tic-ltd-sti</x:v>
      </x:c>
      <x:c r="O192" s="3" t="str">
        <x:v>12</x:v>
      </x:c>
      <x:c r="P192" s="3" t="str">
        <x:v>1211A</x:v>
      </x:c>
      <x:c r="Q192" s="8" t="str">
        <x:v>SOLIDWORKS; EDGECAM; WORKNC</x:v>
      </x:c>
      <x:c r="R192" s="8" t="str">
        <x:v>HEXAGON; DASSAULT SYSTEMES</x:v>
      </x:c>
    </x:row>
    <x:row r="193">
      <x:c r="A193" s="11" t="str">
        <x:v>METSAN MAKİNE SAN. VE TİC. A.Ş.</x:v>
      </x:c>
      <x:c r="B193" s="11" t="str">
        <x:v>https://www.metsanmakina.com</x:v>
      </x:c>
      <x:c r="C193" s="11" t="str">
        <x:v>info@metsanmakina.com</x:v>
      </x:c>
      <x:c r="D193" s="11" t="str">
        <x:v>‎+90 212 549 44 16</x:v>
      </x:c>
      <x:c r="E193" s="11" t="str">
        <x:v>TAM</x:v>
      </x:c>
      <x:c r="F193" s="11" t="str">
        <x:v>MANUEL WEB DOĞRULAMA</x:v>
      </x:c>
      <x:c r="G193" s="11" t="str">
        <x:v>manual</x:v>
      </x:c>
      <x:c r="H193" s="11"/>
      <x:c r="I193" s="11" t="str">
        <x:v>FUAR_REFERANSI_YOK</x:v>
      </x:c>
      <x:c r="J193" s="11"/>
      <x:c r="K193" s="12" t="str">
        <x:v>Resmî site üzerindeki ayırt edici marka/ticari unvan, Türkiye adresi veya fuar telefon eşleşmesiyle kimlik doğrulandı. İletişim yalnız doğrulanan resmî siteden alındı. Kimlik kanıtı: https://www.metsanmakina.com/</x:v>
      </x:c>
      <x:c r="L193" s="12" t="str">
        <x:v>https://www.metsanmakina.com/</x:v>
      </x:c>
      <x:c r="M193" s="12" t="str">
        <x:v>https://www.metsanmakina.com/</x:v>
      </x:c>
      <x:c r="N193" s="12" t="str">
        <x:v>https://www.maktekfuari.com/brand/metsan-makine-san-ve-tic-as</x:v>
      </x:c>
      <x:c r="O193" s="11" t="str">
        <x:v>11A</x:v>
      </x:c>
      <x:c r="P193" s="11" t="str">
        <x:v>44</x:v>
      </x:c>
      <x:c r="Q193" s="12"/>
      <x:c r="R193" s="12"/>
    </x:row>
    <x:row r="194">
      <x:c r="A194" s="11" t="str">
        <x:v>MİKRON CNC TAK. TEZ. MÜH. BİL. TAS. PRO. SİS. TİC. LTD. ŞTİ.</x:v>
      </x:c>
      <x:c r="B194" s="11" t="str">
        <x:v>https://mikroncnc.com/</x:v>
      </x:c>
      <x:c r="C194" s="11"/>
      <x:c r="D194" s="11" t="str">
        <x:v>‎+90 216 364 17 39</x:v>
      </x:c>
      <x:c r="E194" s="11" t="str">
        <x:v>KISMI</x:v>
      </x:c>
      <x:c r="F194" s="11" t="str">
        <x:v>MANUEL WEB DOĞRULAMA</x:v>
      </x:c>
      <x:c r="G194" s="11" t="str">
        <x:v>manual</x:v>
      </x:c>
      <x:c r="H194" s="11"/>
      <x:c r="I194" s="11" t="str">
        <x:v>FARKLI_RESMI_SITE_ONCELIKLI</x:v>
      </x:c>
      <x:c r="J194" s="11" t="str">
        <x:v>‎+90 533 935 26 43</x:v>
      </x:c>
      <x:c r="K194" s="12" t="str">
        <x:v>Resmî site üzerindeki ayırt edici marka/ticari unvan, Türkiye adresi veya fuar telefon eşleşmesiyle kimlik doğrulandı. İletişim yalnız doğrulanan resmî siteden alındı. Kimlik kanıtı: https://mikroncnc.com/</x:v>
      </x:c>
      <x:c r="L194" s="12"/>
      <x:c r="M194" s="12" t="str">
        <x:v>https://mikroncnc.com/</x:v>
      </x:c>
      <x:c r="N194" s="12" t="str">
        <x:v>https://www.maktekfuari.com/brand/mikron-cnc-tak-tez-muh-bil-tas-pro-sis-tic-ltd-sti</x:v>
      </x:c>
      <x:c r="O194" s="11" t="str">
        <x:v>5</x:v>
      </x:c>
      <x:c r="P194" s="11" t="str">
        <x:v>511</x:v>
      </x:c>
      <x:c r="Q194" s="12" t="str">
        <x:v>Mikron CNC Edm Teknoloji</x:v>
      </x:c>
      <x:c r="R194" s="12"/>
    </x:row>
    <x:row r="195">
      <x:c r="A195" s="11" t="str">
        <x:v>MİKRON OTOMASYON VE MAKİNA BURCU BULUT</x:v>
      </x:c>
      <x:c r="B195" s="11" t="str">
        <x:v>https://www.mikronotomasyon.com</x:v>
      </x:c>
      <x:c r="C195" s="11" t="str">
        <x:v>teknik@mikronotomasyon.com</x:v>
      </x:c>
      <x:c r="D195" s="11"/>
      <x:c r="E195" s="11" t="str">
        <x:v>KISMI</x:v>
      </x:c>
      <x:c r="F195" s="11" t="str">
        <x:v>MANUEL WEB DOĞRULAMA</x:v>
      </x:c>
      <x:c r="G195" s="11" t="str">
        <x:v>manual</x:v>
      </x:c>
      <x:c r="H195" s="11"/>
      <x:c r="I195" s="11" t="str">
        <x:v>TELEFON_YOK</x:v>
      </x:c>
      <x:c r="J195" s="11"/>
      <x:c r="K195" s="12" t="str">
        <x:v>Resmî site üzerindeki ayırt edici marka/ticari unvan, Türkiye adresi veya fuar telefon eşleşmesiyle kimlik doğrulandı. İletişim yalnız doğrulanan resmî siteden alındı. Kimlik kanıtı: https://www.mikronotomasyon.com/</x:v>
      </x:c>
      <x:c r="L195" s="12" t="str">
        <x:v>https://www.mikronotomasyon.com/</x:v>
      </x:c>
      <x:c r="M195" s="12"/>
      <x:c r="N195" s="12" t="str">
        <x:v>https://www.maktekfuari.com/brand/mikron-otomasyon-ve-makina-burcu-bulut</x:v>
      </x:c>
      <x:c r="O195" s="11" t="str">
        <x:v>11</x:v>
      </x:c>
      <x:c r="P195" s="11" t="str">
        <x:v>1136</x:v>
      </x:c>
      <x:c r="Q195" s="12"/>
      <x:c r="R195" s="12"/>
    </x:row>
    <x:row r="196">
      <x:c r="A196" s="3" t="str">
        <x:v>MİKSAN MOTOR SAN. VE TİC. A.Ş.</x:v>
      </x:c>
      <x:c r="B196" s="3" t="str">
        <x:v>https://www.miksanmotor.com</x:v>
      </x:c>
      <x:c r="C196" s="3" t="str">
        <x:v>info@miksanmotor.com</x:v>
      </x:c>
      <x:c r="D196" s="3" t="str">
        <x:v>‎0212 284 64 00</x:v>
      </x:c>
      <x:c r="E196" s="3" t="str">
        <x:v>TAM</x:v>
      </x:c>
      <x:c r="F196" s="3" t="str">
        <x:v>SİSTEM</x:v>
      </x:c>
      <x:c r="G196" s="3" t="str">
        <x:v>medium</x:v>
      </x:c>
      <x:c r="H196" s="3" t="str">
        <x:v>85</x:v>
      </x:c>
      <x:c r="I196" s="3" t="str">
        <x:v>FUAR_REFERANSI_YOK</x:v>
      </x:c>
      <x:c r="J196" s="3"/>
      <x:c r="K196" s="8"/>
      <x:c r="L196" s="8" t="str">
        <x:v>https://www.miksanmotor.com/contact</x:v>
      </x:c>
      <x:c r="M196" s="8" t="str">
        <x:v>https://www.miksanmotor.com/contact</x:v>
      </x:c>
      <x:c r="N196" s="8" t="str">
        <x:v>https://www.maktekfuari.com/brand/miksan-motor-san-ve-tic-as</x:v>
      </x:c>
      <x:c r="O196" s="3" t="str">
        <x:v>10</x:v>
      </x:c>
      <x:c r="P196" s="3" t="str">
        <x:v>1007</x:v>
      </x:c>
      <x:c r="Q196" s="8"/>
      <x:c r="R196" s="8"/>
    </x:row>
    <x:row r="197">
      <x:c r="A197" s="3" t="str">
        <x:v>MİLTAŞ KESİCİ TAKIM HAVACILIK VE SAVUNMA SAN. TİC. LTD. ŞTİ.</x:v>
      </x:c>
      <x:c r="B197" s="3" t="str">
        <x:v>https://www.miltas.com.tr</x:v>
      </x:c>
      <x:c r="C197" s="3" t="str">
        <x:v>info@miltas.com.tr</x:v>
      </x:c>
      <x:c r="D197" s="3" t="str">
        <x:v>‎0216 593 13 03</x:v>
      </x:c>
      <x:c r="E197" s="3" t="str">
        <x:v>TAM</x:v>
      </x:c>
      <x:c r="F197" s="3" t="str">
        <x:v>SİSTEM</x:v>
      </x:c>
      <x:c r="G197" s="3" t="str">
        <x:v>high</x:v>
      </x:c>
      <x:c r="H197" s="3" t="str">
        <x:v>100</x:v>
      </x:c>
      <x:c r="I197" s="3" t="str">
        <x:v>ESLESTI</x:v>
      </x:c>
      <x:c r="J197" s="3" t="str">
        <x:v>‎+90 216 593 13 03</x:v>
      </x:c>
      <x:c r="K197" s="8"/>
      <x:c r="L197" s="8" t="str">
        <x:v>https://www.miltas.com.tr</x:v>
      </x:c>
      <x:c r="M197" s="8" t="str">
        <x:v>https://www.miltas.com.tr</x:v>
      </x:c>
      <x:c r="N197" s="8" t="str">
        <x:v>https://www.maktekfuari.com/brand/miltas-kesici-takim-havacilik-ve-savunma-san-tic-ltd-sti</x:v>
      </x:c>
      <x:c r="O197" s="3" t="str">
        <x:v>11 / 2</x:v>
      </x:c>
      <x:c r="P197" s="3" t="str">
        <x:v>1104 - 200A</x:v>
      </x:c>
      <x:c r="Q197" s="8"/>
      <x:c r="R197" s="8"/>
    </x:row>
    <x:row r="198">
      <x:c r="A198" s="3" t="str">
        <x:v>MİT CNC MAKİNA VE İMALAT TEKNOLOJİLERİ SAN. TİC. LTD. ŞTİ.</x:v>
      </x:c>
      <x:c r="B198" s="3" t="str">
        <x:v>https://www.mitcnc.com</x:v>
      </x:c>
      <x:c r="C198" s="3" t="str">
        <x:v>info@mitcnc.com</x:v>
      </x:c>
      <x:c r="D198" s="3" t="str">
        <x:v>‎0212 909 93 74</x:v>
      </x:c>
      <x:c r="E198" s="3" t="str">
        <x:v>TAM</x:v>
      </x:c>
      <x:c r="F198" s="3" t="str">
        <x:v>SİSTEM</x:v>
      </x:c>
      <x:c r="G198" s="3" t="str">
        <x:v>medium</x:v>
      </x:c>
      <x:c r="H198" s="3" t="str">
        <x:v>85</x:v>
      </x:c>
      <x:c r="I198" s="3" t="str">
        <x:v>FARKLI_RESMI_SITE_ONCELIKLI</x:v>
      </x:c>
      <x:c r="J198" s="3" t="str">
        <x:v>‎+90 541 648 82 62</x:v>
      </x:c>
      <x:c r="K198" s="8"/>
      <x:c r="L198" s="8" t="str">
        <x:v>https://www.mitcnc.com</x:v>
      </x:c>
      <x:c r="M198" s="8" t="str">
        <x:v>https://www.mitcnc.com</x:v>
      </x:c>
      <x:c r="N198" s="8" t="str">
        <x:v>https://www.maktekfuari.com/brand/mit-cnc-makina-ve-imalat-teknolojileri-san-tic-ltd-sti</x:v>
      </x:c>
      <x:c r="O198" s="3" t="str">
        <x:v>12A</x:v>
      </x:c>
      <x:c r="P198" s="3" t="str">
        <x:v>41</x:v>
      </x:c>
      <x:c r="Q198" s="8"/>
      <x:c r="R198" s="8"/>
    </x:row>
    <x:row r="199">
      <x:c r="A199" s="3" t="str">
        <x:v>MİTACAN DIŞ TİCARET VE OTOMOTİV A.Ş.</x:v>
      </x:c>
      <x:c r="B199" s="3" t="str">
        <x:v>https://www.mitacan.com</x:v>
      </x:c>
      <x:c r="C199" s="3" t="str">
        <x:v>siparis@mitacan.com</x:v>
      </x:c>
      <x:c r="D199" s="3" t="str">
        <x:v>‎0212 283 76 57</x:v>
      </x:c>
      <x:c r="E199" s="3" t="str">
        <x:v>TAM</x:v>
      </x:c>
      <x:c r="F199" s="3" t="str">
        <x:v>SİSTEM</x:v>
      </x:c>
      <x:c r="G199" s="3" t="str">
        <x:v>medium</x:v>
      </x:c>
      <x:c r="H199" s="3" t="str">
        <x:v>83</x:v>
      </x:c>
      <x:c r="I199" s="3" t="str">
        <x:v>ESLESTI</x:v>
      </x:c>
      <x:c r="J199" s="3" t="str">
        <x:v>‎+90 212 283 76 57</x:v>
      </x:c>
      <x:c r="K199" s="8"/>
      <x:c r="L199" s="8" t="str">
        <x:v>https://www.mitacan.com</x:v>
      </x:c>
      <x:c r="M199" s="8" t="str">
        <x:v>https://www.mitacan.com</x:v>
      </x:c>
      <x:c r="N199" s="8" t="str">
        <x:v>https://www.maktekfuari.com/brand/mitacan-dis-ticaret-ve-otomotiv-as</x:v>
      </x:c>
      <x:c r="O199" s="3" t="str">
        <x:v>11</x:v>
      </x:c>
      <x:c r="P199" s="3" t="str">
        <x:v>1102B</x:v>
      </x:c>
      <x:c r="Q199" s="8"/>
      <x:c r="R199" s="8"/>
    </x:row>
    <x:row r="200">
      <x:c r="A200" s="11" t="str">
        <x:v>MOTUL TR İLERİ TEKNOLOJİ OTOMOTİV VE ENDÜSTRİ YAĞLARI TİCARET A.Ş.</x:v>
      </x:c>
      <x:c r="B200" s="11" t="str">
        <x:v>https://www.motul.com/tr-TR</x:v>
      </x:c>
      <x:c r="C200" s="11" t="str">
        <x:v>info@motul.com.tr</x:v>
      </x:c>
      <x:c r="D200" s="11" t="str">
        <x:v>‎+90 216 570 65 00</x:v>
      </x:c>
      <x:c r="E200" s="11" t="str">
        <x:v>TAM</x:v>
      </x:c>
      <x:c r="F200" s="11" t="str">
        <x:v>MANUEL WEB DOĞRULAMA</x:v>
      </x:c>
      <x:c r="G200" s="11" t="str">
        <x:v>manual</x:v>
      </x:c>
      <x:c r="H200" s="11"/>
      <x:c r="I200" s="11" t="str">
        <x:v>MANUEL_ESLESTI</x:v>
      </x:c>
      <x:c r="J200" s="11" t="str">
        <x:v>‎+90 216 570 65 00</x:v>
      </x:c>
      <x:c r="K200" s="12" t="str">
        <x:v>Resmî site üzerindeki ayırt edici marka/ticari unvan, Türkiye adresi veya fuar telefon eşleşmesiyle kimlik doğrulandı. İletişim yalnız doğrulanan resmî siteden alındı. Kimlik kanıtı: https://www.motul.com/tr-TR/information/contact_us</x:v>
      </x:c>
      <x:c r="L200" s="12" t="str">
        <x:v>https://www.motul.com/tr-TR/information/contact_us</x:v>
      </x:c>
      <x:c r="M200" s="12" t="str">
        <x:v>https://www.motul.com/tr-TR/information/contact_us</x:v>
      </x:c>
      <x:c r="N200" s="12" t="str">
        <x:v>https://www.maktekfuari.com/brand/motul-tr-ileri-teknoloji-otomotiv-ve-endustri-yaglari-ticaret-as</x:v>
      </x:c>
      <x:c r="O200" s="11" t="str">
        <x:v>6</x:v>
      </x:c>
      <x:c r="P200" s="11" t="str">
        <x:v>623</x:v>
      </x:c>
      <x:c r="Q200" s="12" t="str">
        <x:v>Motul &amp; Motultech</x:v>
      </x:c>
      <x:c r="R200" s="12" t="str">
        <x:v>Motul &amp; Motultech</x:v>
      </x:c>
    </x:row>
    <x:row r="201">
      <x:c r="A201" s="11" t="str">
        <x:v>MUSTAFA ŞİMŞEK MAKİNE SAN. VE TİC. LTD. ŞTİ.</x:v>
      </x:c>
      <x:c r="B201" s="11" t="str">
        <x:v>https://www.smoxh.com.tr</x:v>
      </x:c>
      <x:c r="C201" s="11" t="str">
        <x:v>info@smoxh.com.tr</x:v>
      </x:c>
      <x:c r="D201" s="11" t="str">
        <x:v>‎+90 332 251 21 78</x:v>
      </x:c>
      <x:c r="E201" s="11" t="str">
        <x:v>TAM</x:v>
      </x:c>
      <x:c r="F201" s="11" t="str">
        <x:v>MANUEL WEB DOĞRULAMA</x:v>
      </x:c>
      <x:c r="G201" s="11" t="str">
        <x:v>manual</x:v>
      </x:c>
      <x:c r="H201" s="11"/>
      <x:c r="I201" s="11" t="str">
        <x:v>MANUEL_ESLESTI</x:v>
      </x:c>
      <x:c r="J201" s="11" t="str">
        <x:v>‎+90 332 251 21 78</x:v>
      </x:c>
      <x:c r="K201" s="12" t="str">
        <x:v>Resmî site üzerindeki ayırt edici marka/ticari unvan, Türkiye adresi veya fuar telefon eşleşmesiyle kimlik doğrulandı. İletişim yalnız doğrulanan resmî siteden alındı. Kimlik kanıtı: https://www.smoxh.com.tr/</x:v>
      </x:c>
      <x:c r="L201" s="12" t="str">
        <x:v>https://www.smoxh.com.tr/</x:v>
      </x:c>
      <x:c r="M201" s="12" t="str">
        <x:v>https://www.smoxh.com.tr/</x:v>
      </x:c>
      <x:c r="N201" s="12" t="str">
        <x:v>https://www.maktekfuari.com/brand/mustafa-simsek-makine-san-ve-tic-ltd-sti</x:v>
      </x:c>
      <x:c r="O201" s="11" t="str">
        <x:v>11</x:v>
      </x:c>
      <x:c r="P201" s="11" t="str">
        <x:v>1161</x:v>
      </x:c>
      <x:c r="Q201" s="12" t="str">
        <x:v>SMOXH Cutting Tools</x:v>
      </x:c>
      <x:c r="R201" s="12" t="str">
        <x:v>SMOXH CUTTING TOOLS</x:v>
      </x:c>
    </x:row>
    <x:row r="202">
      <x:c r="A202" s="11" t="str">
        <x:v>MUSTEK TAKIM TEZGAHLARI SAN VE TİC LTD ŞTİ</x:v>
      </x:c>
      <x:c r="B202" s="11" t="str">
        <x:v>https://www.mustekcnc.com</x:v>
      </x:c>
      <x:c r="C202" s="11" t="str">
        <x:v>mustek@mustekcnc.com</x:v>
      </x:c>
      <x:c r="D202" s="11" t="str">
        <x:v>‎0216 540 19 19</x:v>
      </x:c>
      <x:c r="E202" s="11" t="str">
        <x:v>TAM</x:v>
      </x:c>
      <x:c r="F202" s="11" t="str">
        <x:v>MANUEL WEB DOĞRULAMA</x:v>
      </x:c>
      <x:c r="G202" s="11" t="str">
        <x:v>manual</x:v>
      </x:c>
      <x:c r="H202" s="11"/>
      <x:c r="I202" s="11" t="str">
        <x:v>MANUEL_ESLESTI</x:v>
      </x:c>
      <x:c r="J202" s="11" t="str">
        <x:v>‎+90 216 540 19 19</x:v>
      </x:c>
      <x:c r="K202" s="12" t="str">
        <x:v>Resmî site üzerindeki ayırt edici marka/ticari unvan, Türkiye adresi veya fuar telefon eşleşmesiyle kimlik doğrulandı. İletişim yalnız doğrulanan resmî siteden alındı. Kimlik kanıtı: https://www.mustekcnc.com/tr/kurumsal</x:v>
      </x:c>
      <x:c r="L202" s="12" t="str">
        <x:v>https://www.mustekcnc.com/tr/contact/iletisim</x:v>
      </x:c>
      <x:c r="M202" s="12" t="str">
        <x:v>https://www.mustekcnc.com/tr/contact/iletisim</x:v>
      </x:c>
      <x:c r="N202" s="12" t="str">
        <x:v>https://www.maktekfuari.com/brand/mustek-takim-tezgahlari-san-ve-tic-ltd-sti</x:v>
      </x:c>
      <x:c r="O202" s="11" t="str">
        <x:v>7</x:v>
      </x:c>
      <x:c r="P202" s="11" t="str">
        <x:v>709</x:v>
      </x:c>
      <x:c r="Q202" s="12"/>
      <x:c r="R202" s="12"/>
    </x:row>
    <x:row r="203">
      <x:c r="A203" s="3" t="str">
        <x:v>MVD İNAN TAKIM TEZGAHLARI SAN A.Ş.</x:v>
      </x:c>
      <x:c r="B203" s="3" t="str">
        <x:v>https://www.mvd.com.tr</x:v>
      </x:c>
      <x:c r="C203" s="3"/>
      <x:c r="D203" s="3" t="str">
        <x:v>‎0545 239 22 34</x:v>
      </x:c>
      <x:c r="E203" s="3" t="str">
        <x:v>KISMI</x:v>
      </x:c>
      <x:c r="F203" s="3" t="str">
        <x:v>SİSTEM</x:v>
      </x:c>
      <x:c r="G203" s="3" t="str">
        <x:v>medium</x:v>
      </x:c>
      <x:c r="H203" s="3" t="str">
        <x:v>84</x:v>
      </x:c>
      <x:c r="I203" s="3" t="str">
        <x:v>FARKLI_RESMI_SITE_ONCELIKLI</x:v>
      </x:c>
      <x:c r="J203" s="3" t="str">
        <x:v>‎+90 546 239 22 31</x:v>
      </x:c>
      <x:c r="K203" s="8"/>
      <x:c r="L203" s="8"/>
      <x:c r="M203" s="8" t="str">
        <x:v>https://www.mvd.com.tr</x:v>
      </x:c>
      <x:c r="N203" s="8" t="str">
        <x:v>https://www.maktekfuari.com/brand/mvd-inan-takim-tezgahlari-san-as</x:v>
      </x:c>
      <x:c r="O203" s="3" t="str">
        <x:v>3</x:v>
      </x:c>
      <x:c r="P203" s="3" t="str">
        <x:v>308</x:v>
      </x:c>
      <x:c r="Q203" s="8"/>
      <x:c r="R203" s="8"/>
    </x:row>
    <x:row r="204">
      <x:c r="A204" s="3" t="str">
        <x:v>MYK CNC MAK SAN VE MÜH DIŞ TİC AŞ</x:v>
      </x:c>
      <x:c r="B204" s="3" t="str">
        <x:v>https://www.mykcnc.com.tr</x:v>
      </x:c>
      <x:c r="C204" s="3" t="str">
        <x:v>info@mykcnc.com.tr</x:v>
      </x:c>
      <x:c r="D204" s="3" t="str">
        <x:v>‎0312 395 57 82</x:v>
      </x:c>
      <x:c r="E204" s="3" t="str">
        <x:v>TAM</x:v>
      </x:c>
      <x:c r="F204" s="3" t="str">
        <x:v>SİSTEM</x:v>
      </x:c>
      <x:c r="G204" s="3" t="str">
        <x:v>medium</x:v>
      </x:c>
      <x:c r="H204" s="3" t="str">
        <x:v>85</x:v>
      </x:c>
      <x:c r="I204" s="3" t="str">
        <x:v>FARKLI_RESMI_SITE_ONCELIKLI</x:v>
      </x:c>
      <x:c r="J204" s="3" t="str">
        <x:v>‎+90 535 743 79 07</x:v>
      </x:c>
      <x:c r="K204" s="8"/>
      <x:c r="L204" s="8" t="str">
        <x:v>https://www.mykcnc.com.tr</x:v>
      </x:c>
      <x:c r="M204" s="8" t="str">
        <x:v>https://www.mykcnc.com.tr</x:v>
      </x:c>
      <x:c r="N204" s="8" t="str">
        <x:v>https://www.maktekfuari.com/brand/myk-cnc-mak-san-ve-muh-dis-tic-as</x:v>
      </x:c>
      <x:c r="O204" s="3" t="str">
        <x:v>11</x:v>
      </x:c>
      <x:c r="P204" s="3" t="str">
        <x:v>1172</x:v>
      </x:c>
      <x:c r="Q204" s="8"/>
      <x:c r="R204" s="8" t="str">
        <x:v>WTO Werkzeug-Einrichtungen GmbH</x:v>
      </x:c>
    </x:row>
    <x:row r="205">
      <x:c r="A205" s="3" t="str">
        <x:v>NANO KESİCİ TAKIMLAR LTD.ŞTİ.</x:v>
      </x:c>
      <x:c r="B205" s="3" t="str">
        <x:v>https://www.wihaturkiye.com</x:v>
      </x:c>
      <x:c r="C205" s="3" t="str">
        <x:v>info@wihaturkiye.com</x:v>
      </x:c>
      <x:c r="D205" s="3" t="str">
        <x:v>‎0312 438 62 66</x:v>
      </x:c>
      <x:c r="E205" s="3" t="str">
        <x:v>TAM</x:v>
      </x:c>
      <x:c r="F205" s="3" t="str">
        <x:v>SİSTEM</x:v>
      </x:c>
      <x:c r="G205" s="3" t="str">
        <x:v>high</x:v>
      </x:c>
      <x:c r="H205" s="3" t="str">
        <x:v>98</x:v>
      </x:c>
      <x:c r="I205" s="3" t="str">
        <x:v>FUAR_REFERANSI_YOK</x:v>
      </x:c>
      <x:c r="J205" s="3"/>
      <x:c r="K205" s="8"/>
      <x:c r="L205" s="8" t="str">
        <x:v>https://www.wihaturkiye.com</x:v>
      </x:c>
      <x:c r="M205" s="8" t="str">
        <x:v>https://www.wihaturkiye.com</x:v>
      </x:c>
      <x:c r="N205" s="8" t="str">
        <x:v>https://www.maktekfuari.com/brand/nano-kesici-takimlar-ltdsti</x:v>
      </x:c>
      <x:c r="O205" s="3" t="str">
        <x:v>11</x:v>
      </x:c>
      <x:c r="P205" s="3" t="str">
        <x:v>1153</x:v>
      </x:c>
      <x:c r="Q205" s="8"/>
      <x:c r="R205" s="8"/>
    </x:row>
    <x:row r="206">
      <x:c r="A206" s="3" t="str">
        <x:v>NATROTEK TAKIM TEZGAHLARI SAN. VE TİC. LTD. ŞTİ.</x:v>
      </x:c>
      <x:c r="B206" s="3" t="str">
        <x:v>https://www.natrotek.com.tr</x:v>
      </x:c>
      <x:c r="C206" s="3" t="str">
        <x:v>info@natrotek.com.tr</x:v>
      </x:c>
      <x:c r="D206" s="3" t="str">
        <x:v>‎0532 497 25 30</x:v>
      </x:c>
      <x:c r="E206" s="3" t="str">
        <x:v>TAM</x:v>
      </x:c>
      <x:c r="F206" s="3" t="str">
        <x:v>SİSTEM</x:v>
      </x:c>
      <x:c r="G206" s="3" t="str">
        <x:v>high</x:v>
      </x:c>
      <x:c r="H206" s="3" t="str">
        <x:v>100</x:v>
      </x:c>
      <x:c r="I206" s="3" t="str">
        <x:v>FARKLI_RESMI_SITE_ONCELIKLI</x:v>
      </x:c>
      <x:c r="J206" s="3" t="str">
        <x:v>‎+90 532 526 81 93</x:v>
      </x:c>
      <x:c r="K206" s="8"/>
      <x:c r="L206" s="8" t="str">
        <x:v>https://www.natrotek.com.tr</x:v>
      </x:c>
      <x:c r="M206" s="8" t="str">
        <x:v>https://www.natrotek.com.tr</x:v>
      </x:c>
      <x:c r="N206" s="8" t="str">
        <x:v>https://www.maktekfuari.com/brand/natrotek-takim-tezgahlari-san-ve-tic-ltd-sti</x:v>
      </x:c>
      <x:c r="O206" s="3" t="str">
        <x:v>5</x:v>
      </x:c>
      <x:c r="P206" s="3" t="str">
        <x:v>505</x:v>
      </x:c>
      <x:c r="Q206" s="8" t="str">
        <x:v>NPRO</x:v>
      </x:c>
      <x:c r="R206" s="8" t="str">
        <x:v>MELTIO 3D PRINTING</x:v>
      </x:c>
    </x:row>
    <x:row r="207">
      <x:c r="A207" s="3" t="str">
        <x:v>NATSU MAKİNA İNŞAAT İNŞ. MLZ. SAN. TİC. A. Ş.</x:v>
      </x:c>
      <x:c r="B207" s="3" t="str">
        <x:v>http://www.natsu.com.tr</x:v>
      </x:c>
      <x:c r="C207" s="3" t="str">
        <x:v>info@natsu.com.tr</x:v>
      </x:c>
      <x:c r="D207" s="3" t="str">
        <x:v>‎0222 340 02 18</x:v>
      </x:c>
      <x:c r="E207" s="3" t="str">
        <x:v>TAM</x:v>
      </x:c>
      <x:c r="F207" s="3" t="str">
        <x:v>SİSTEM</x:v>
      </x:c>
      <x:c r="G207" s="3" t="str">
        <x:v>medium</x:v>
      </x:c>
      <x:c r="H207" s="3" t="str">
        <x:v>81</x:v>
      </x:c>
      <x:c r="I207" s="3" t="str">
        <x:v>FARKLI_RESMI_SITE_ONCELIKLI</x:v>
      </x:c>
      <x:c r="J207" s="3" t="str">
        <x:v>‎+90 533 772 79 32</x:v>
      </x:c>
      <x:c r="K207" s="8"/>
      <x:c r="L207" s="8" t="str">
        <x:v>http://www.natsu.com.tr</x:v>
      </x:c>
      <x:c r="M207" s="8" t="str">
        <x:v>http://www.natsu.com.tr</x:v>
      </x:c>
      <x:c r="N207" s="8" t="str">
        <x:v>https://www.maktekfuari.com/brand/natsu-makina-insaat-ins-mlz-san-tic-a-s</x:v>
      </x:c>
      <x:c r="O207" s="3" t="str">
        <x:v>11A</x:v>
      </x:c>
      <x:c r="P207" s="3" t="str">
        <x:v>46</x:v>
      </x:c>
      <x:c r="Q207" s="8"/>
      <x:c r="R207" s="8"/>
    </x:row>
    <x:row r="208">
      <x:c r="A208" s="3" t="str">
        <x:v>NİKKEN KESİCİ TAK.SAN.VE ULUS.TİC.AŞ.</x:v>
      </x:c>
      <x:c r="B208" s="3" t="str">
        <x:v>https://www.nikken.com.tr</x:v>
      </x:c>
      <x:c r="C208" s="3" t="str">
        <x:v>info@nikkenitalia.it</x:v>
      </x:c>
      <x:c r="D208" s="3" t="str">
        <x:v>‎0216 210 25 06</x:v>
      </x:c>
      <x:c r="E208" s="3" t="str">
        <x:v>TAM</x:v>
      </x:c>
      <x:c r="F208" s="3" t="str">
        <x:v>SİSTEM</x:v>
      </x:c>
      <x:c r="G208" s="3" t="str">
        <x:v>medium</x:v>
      </x:c>
      <x:c r="H208" s="3" t="str">
        <x:v>82</x:v>
      </x:c>
      <x:c r="I208" s="3" t="str">
        <x:v>ESLESTI</x:v>
      </x:c>
      <x:c r="J208" s="3" t="str">
        <x:v>‎+90 216 518 10 10</x:v>
      </x:c>
      <x:c r="K208" s="8"/>
      <x:c r="L208" s="8" t="str">
        <x:v>https://www.nikken.com.tr/iletisim</x:v>
      </x:c>
      <x:c r="M208" s="8" t="str">
        <x:v>https://www.nikken.com.tr/iletisim</x:v>
      </x:c>
      <x:c r="N208" s="8" t="str">
        <x:v>https://www.maktekfuari.com/brand/nikken-kesici-taksanve-ulusticas</x:v>
      </x:c>
      <x:c r="O208" s="3" t="str">
        <x:v>11</x:v>
      </x:c>
      <x:c r="P208" s="3" t="str">
        <x:v>1117</x:v>
      </x:c>
      <x:c r="Q208" s="8" t="str">
        <x:v>Elbo Controlli NIKKEN; NIKKEN</x:v>
      </x:c>
      <x:c r="R208" s="8" t="str">
        <x:v>Triag International AG; Elbo Controlli Nikken; Pibomulti S.A.; Alberti; NACHI</x:v>
      </x:c>
    </x:row>
    <x:row r="209">
      <x:c r="A209" s="3" t="str">
        <x:v>NORKVEN ENERJİ SAN. VE TİC. A.Ş.</x:v>
      </x:c>
      <x:c r="B209" s="3" t="str">
        <x:v>https://norkven.com</x:v>
      </x:c>
      <x:c r="C209" s="3" t="str">
        <x:v>destek@norkven.com</x:v>
      </x:c>
      <x:c r="D209" s="3" t="str">
        <x:v>‎0850 533 11 33</x:v>
      </x:c>
      <x:c r="E209" s="3" t="str">
        <x:v>TAM</x:v>
      </x:c>
      <x:c r="F209" s="3" t="str">
        <x:v>SİSTEM</x:v>
      </x:c>
      <x:c r="G209" s="3" t="str">
        <x:v>medium</x:v>
      </x:c>
      <x:c r="H209" s="3" t="str">
        <x:v>85</x:v>
      </x:c>
      <x:c r="I209" s="3" t="str">
        <x:v>ESLESTI</x:v>
      </x:c>
      <x:c r="J209" s="3" t="str">
        <x:v>‎+90 850 533 11 33</x:v>
      </x:c>
      <x:c r="K209" s="8"/>
      <x:c r="L209" s="8" t="str">
        <x:v>https://norkven.com</x:v>
      </x:c>
      <x:c r="M209" s="8" t="str">
        <x:v>https://norkven.com</x:v>
      </x:c>
      <x:c r="N209" s="8" t="str">
        <x:v>https://www.maktekfuari.com/brand/norkven-enerji-san-ve-tic-as</x:v>
      </x:c>
      <x:c r="O209" s="3" t="str">
        <x:v>11A</x:v>
      </x:c>
      <x:c r="P209" s="3" t="str">
        <x:v>41</x:v>
      </x:c>
      <x:c r="Q209" s="8" t="str">
        <x:v>NORKVEN</x:v>
      </x:c>
      <x:c r="R209" s="8" t="str">
        <x:v>Socomec</x:v>
      </x:c>
    </x:row>
    <x:row r="210">
      <x:c r="A210" s="3" t="str">
        <x:v>NOVA TESTERE MAK. SAN. VE TİC. LTD. ŞTİ.</x:v>
      </x:c>
      <x:c r="B210" s="3" t="str">
        <x:v>https://www.novatestere.com</x:v>
      </x:c>
      <x:c r="C210" s="3" t="str">
        <x:v>satis@novatestere.com</x:v>
      </x:c>
      <x:c r="D210" s="3" t="str">
        <x:v>‎0212 485 66 16</x:v>
      </x:c>
      <x:c r="E210" s="3" t="str">
        <x:v>TAM</x:v>
      </x:c>
      <x:c r="F210" s="3" t="str">
        <x:v>SİSTEM</x:v>
      </x:c>
      <x:c r="G210" s="3" t="str">
        <x:v>high</x:v>
      </x:c>
      <x:c r="H210" s="3" t="str">
        <x:v>100</x:v>
      </x:c>
      <x:c r="I210" s="3" t="str">
        <x:v>FUAR_REFERANSI_YOK</x:v>
      </x:c>
      <x:c r="J210" s="3"/>
      <x:c r="K210" s="8"/>
      <x:c r="L210" s="8" t="str">
        <x:v>https://www.novatestere.com/tr/kurumsal</x:v>
      </x:c>
      <x:c r="M210" s="8" t="str">
        <x:v>https://www.novatestere.com</x:v>
      </x:c>
      <x:c r="N210" s="8" t="str">
        <x:v>https://www.maktekfuari.com/brand/nova-testere-mak-san-ve-tic-ltd-sti</x:v>
      </x:c>
      <x:c r="O210" s="3" t="str">
        <x:v>2</x:v>
      </x:c>
      <x:c r="P210" s="3" t="str">
        <x:v>214A</x:v>
      </x:c>
      <x:c r="Q210" s="8"/>
      <x:c r="R210" s="8"/>
    </x:row>
    <x:row r="211">
      <x:c r="A211" s="11" t="str">
        <x:v>NUKON LAZER MAKİNA METAL SAN. VE TİC. A.Ş.</x:v>
      </x:c>
      <x:c r="B211" s="11" t="str">
        <x:v>https://www.nukon.com.tr</x:v>
      </x:c>
      <x:c r="C211" s="11" t="str">
        <x:v>info@nukon.com.tr</x:v>
      </x:c>
      <x:c r="D211" s="11" t="str">
        <x:v>‎+90 224 241 69 69</x:v>
      </x:c>
      <x:c r="E211" s="11" t="str">
        <x:v>TAM</x:v>
      </x:c>
      <x:c r="F211" s="11" t="str">
        <x:v>MANUEL WEB DOĞRULAMA</x:v>
      </x:c>
      <x:c r="G211" s="11" t="str">
        <x:v>manual</x:v>
      </x:c>
      <x:c r="H211" s="11"/>
      <x:c r="I211" s="11" t="str">
        <x:v>FUAR_REFERANSI_YOK</x:v>
      </x:c>
      <x:c r="J211" s="11"/>
      <x:c r="K211" s="12" t="str">
        <x:v>Resmî site üzerindeki ayırt edici marka/ticari unvan, Türkiye adresi veya fuar telefon eşleşmesiyle kimlik doğrulandı. İletişim yalnız doğrulanan resmî siteden alındı. Kimlik kanıtı: https://www.nukon.com.tr/en/</x:v>
      </x:c>
      <x:c r="L211" s="12" t="str">
        <x:v>https://www.nukon.com.tr/en/</x:v>
      </x:c>
      <x:c r="M211" s="12" t="str">
        <x:v>https://www.nukon.com.tr/en/</x:v>
      </x:c>
      <x:c r="N211" s="12" t="str">
        <x:v>https://www.maktekfuari.com/brand/nukon-lazer-makina-metal-san-ve-tic-as</x:v>
      </x:c>
      <x:c r="O211" s="11" t="str">
        <x:v>3</x:v>
      </x:c>
      <x:c r="P211" s="11" t="str">
        <x:v>305</x:v>
      </x:c>
      <x:c r="Q211" s="12"/>
      <x:c r="R211" s="12"/>
    </x:row>
    <x:row r="212">
      <x:c r="A212" s="11" t="str">
        <x:v>NÜMERİK KONTROL GRUP BİLGİSAYAR SANAYİ VE TİCARET ANONİM ŞİRKETİ</x:v>
      </x:c>
      <x:c r="B212" s="11" t="str">
        <x:v>https://www.nkg.com.tr</x:v>
      </x:c>
      <x:c r="C212" s="11" t="str">
        <x:v>bilgi@nkg.com.tr</x:v>
      </x:c>
      <x:c r="D212" s="11" t="str">
        <x:v>‎+90 212 438 28 21</x:v>
      </x:c>
      <x:c r="E212" s="11" t="str">
        <x:v>TAM</x:v>
      </x:c>
      <x:c r="F212" s="11" t="str">
        <x:v>MANUEL WEB DOĞRULAMA</x:v>
      </x:c>
      <x:c r="G212" s="11" t="str">
        <x:v>manual</x:v>
      </x:c>
      <x:c r="H212" s="11"/>
      <x:c r="I212" s="11" t="str">
        <x:v>MANUEL_ESLESTI</x:v>
      </x:c>
      <x:c r="J212" s="11" t="str">
        <x:v>‎+90 212 438 28 21</x:v>
      </x:c>
      <x:c r="K212" s="12" t="str">
        <x:v>Resmî site üzerindeki ayırt edici marka/ticari unvan, Türkiye adresi veya fuar telefon eşleşmesiyle kimlik doğrulandı. İletişim yalnız doğrulanan resmî siteden alındı. Kimlik kanıtı: https://nkg.com.tr/</x:v>
      </x:c>
      <x:c r="L212" s="12" t="str">
        <x:v>https://nkg.com.tr/</x:v>
      </x:c>
      <x:c r="M212" s="12" t="str">
        <x:v>https://nkg.com.tr/</x:v>
      </x:c>
      <x:c r="N212" s="12" t="str">
        <x:v>https://www.maktekfuari.com/brand/numerik-kontrol-grup-bilgisayar-sanayi-ve-ticaret-anonim-sirketi</x:v>
      </x:c>
      <x:c r="O212" s="11" t="str">
        <x:v>12</x:v>
      </x:c>
      <x:c r="P212" s="11" t="str">
        <x:v>1212</x:v>
      </x:c>
      <x:c r="Q212" s="12"/>
      <x:c r="R212" s="12" t="str">
        <x:v>HEXAGON</x:v>
      </x:c>
    </x:row>
    <x:row r="213">
      <x:c r="A213" s="3" t="str">
        <x:v>ONPLUS TEKNOLOJİ HİZMETLERİ DANIŞMANLIK VE DIŞ TİC. A.Ş.</x:v>
      </x:c>
      <x:c r="B213" s="3" t="str">
        <x:v>https://www.onplus.com.tr</x:v>
      </x:c>
      <x:c r="C213" s="3" t="str">
        <x:v>info@onplus.com.tr</x:v>
      </x:c>
      <x:c r="D213" s="3" t="str">
        <x:v>‎0216 471 90 00</x:v>
      </x:c>
      <x:c r="E213" s="3" t="str">
        <x:v>TAM</x:v>
      </x:c>
      <x:c r="F213" s="3" t="str">
        <x:v>SİSTEM</x:v>
      </x:c>
      <x:c r="G213" s="3" t="str">
        <x:v>medium</x:v>
      </x:c>
      <x:c r="H213" s="3" t="str">
        <x:v>87</x:v>
      </x:c>
      <x:c r="I213" s="3" t="str">
        <x:v>ESLESTI</x:v>
      </x:c>
      <x:c r="J213" s="3" t="str">
        <x:v>‎+90 216 471 90 00</x:v>
      </x:c>
      <x:c r="K213" s="8"/>
      <x:c r="L213" s="8" t="str">
        <x:v>https://www.onplus.com.tr</x:v>
      </x:c>
      <x:c r="M213" s="8" t="str">
        <x:v>https://www.onplus.com.tr</x:v>
      </x:c>
      <x:c r="N213" s="8" t="str">
        <x:v>https://www.maktekfuari.com/brand/onplus-teknoloji-hizmetleri-danismanlik-ve-dis-tic-as</x:v>
      </x:c>
      <x:c r="O213" s="3" t="str">
        <x:v>5</x:v>
      </x:c>
      <x:c r="P213" s="3" t="str">
        <x:v>504</x:v>
      </x:c>
      <x:c r="Q213" s="8" t="str">
        <x:v>WFL MILLTURN Technologies; PAMA S.p.A.; Hyperlean; HNK Machine Tool Co. Ltd.; KISSsoft; Mikron Machining</x:v>
      </x:c>
      <x:c r="R213" s="8" t="str">
        <x:v>HNK MACHINE TOOL CO.LTD.; KISSsoft AG; WFL MILLTURN TECHNOLOGIES GmbH &amp; Co.KG; MIKRON SA AGNO; PAMA S.p.A.; Hyperlean</x:v>
      </x:c>
    </x:row>
    <x:row r="214">
      <x:c r="A214" s="11" t="str">
        <x:v>ONUR TEKNİK HIRDAVAT İTH. İHR. SAN. TİC. LTD. ŞTİ</x:v>
      </x:c>
      <x:c r="B214" s="11" t="str">
        <x:v>https://www.onurteknik.com</x:v>
      </x:c>
      <x:c r="C214" s="11" t="str">
        <x:v>info@onurteknik.com</x:v>
      </x:c>
      <x:c r="D214" s="11" t="str">
        <x:v>‎+90 262 658 00 66</x:v>
      </x:c>
      <x:c r="E214" s="11" t="str">
        <x:v>TAM</x:v>
      </x:c>
      <x:c r="F214" s="11" t="str">
        <x:v>MANUEL WEB DOĞRULAMA</x:v>
      </x:c>
      <x:c r="G214" s="11" t="str">
        <x:v>manual</x:v>
      </x:c>
      <x:c r="H214" s="11"/>
      <x:c r="I214" s="11" t="str">
        <x:v>FUAR_REFERANSI_YOK</x:v>
      </x:c>
      <x:c r="J214" s="11"/>
      <x:c r="K214" s="12" t="str">
        <x:v>Resmî site üzerindeki ayırt edici marka/ticari unvan, Türkiye adresi veya fuar telefon eşleşmesiyle kimlik doğrulandı. İletişim yalnız doğrulanan resmî siteden alındı. Kimlik kanıtı: https://www.onurteknik.com/</x:v>
      </x:c>
      <x:c r="L214" s="12" t="str">
        <x:v>https://www.onurteknik.com/</x:v>
      </x:c>
      <x:c r="M214" s="12" t="str">
        <x:v>https://www.onurteknik.com/</x:v>
      </x:c>
      <x:c r="N214" s="12" t="str">
        <x:v>https://www.maktekfuari.com/brand/onur-teknik-hirdavat-ith-ihr-san-tic-ltd-sti</x:v>
      </x:c>
      <x:c r="O214" s="11" t="str">
        <x:v>11</x:v>
      </x:c>
      <x:c r="P214" s="11" t="str">
        <x:v>1120</x:v>
      </x:c>
      <x:c r="Q214" s="12"/>
      <x:c r="R214" s="12"/>
    </x:row>
    <x:row r="215">
      <x:c r="A215" s="11" t="str">
        <x:v>ORTADOĞU RULMAN SAN. VE TİC A.Ş.</x:v>
      </x:c>
      <x:c r="B215" s="11" t="str">
        <x:v>https://www.ors.com.tr/</x:v>
      </x:c>
      <x:c r="C215" s="11"/>
      <x:c r="D215" s="11"/>
      <x:c r="E215" s="11" t="str">
        <x:v>KISMI</x:v>
      </x:c>
      <x:c r="F215" s="11" t="str">
        <x:v>MANUEL WEB DOĞRULAMA</x:v>
      </x:c>
      <x:c r="G215" s="11" t="str">
        <x:v>manual</x:v>
      </x:c>
      <x:c r="H215" s="11"/>
      <x:c r="I215" s="11" t="str">
        <x:v>TELEFON_YOK</x:v>
      </x:c>
      <x:c r="J215" s="11" t="str">
        <x:v>‎+90 312 648 00 10</x:v>
      </x:c>
      <x:c r="K215" s="12" t="str">
        <x:v>Resmî site üzerindeki ayırt edici marka/ticari unvan, Türkiye adresi veya fuar telefon eşleşmesiyle kimlik doğrulandı. İletişim yalnız doğrulanan resmî siteden alındı. Kimlik kanıtı: https://www.ors.com.tr/</x:v>
      </x:c>
      <x:c r="L215" s="12"/>
      <x:c r="M215" s="12"/>
      <x:c r="N215" s="12" t="str">
        <x:v>https://www.maktekfuari.com/brand/ortadogu-rulman-san-ve-tic-as</x:v>
      </x:c>
      <x:c r="O215" s="11" t="str">
        <x:v>6</x:v>
      </x:c>
      <x:c r="P215" s="11" t="str">
        <x:v>611</x:v>
      </x:c>
      <x:c r="Q215" s="12" t="str">
        <x:v>ORSKOREA LLC.</x:v>
      </x:c>
      <x:c r="R215" s="12" t="str">
        <x:v>ORSKOREA LLC.</x:v>
      </x:c>
    </x:row>
    <x:row r="216">
      <x:c r="A216" s="11" t="str">
        <x:v>OSG TURKEY KESİCİ TAKIMLAR SAN. İÇ VE DIŞ TİC.A.Ş</x:v>
      </x:c>
      <x:c r="B216" s="11" t="str">
        <x:v>http://tr.osgeurope.com</x:v>
      </x:c>
      <x:c r="C216" s="11"/>
      <x:c r="D216" s="11" t="str">
        <x:v>‎+90 212 565 24 00</x:v>
      </x:c>
      <x:c r="E216" s="11" t="str">
        <x:v>KISMI</x:v>
      </x:c>
      <x:c r="F216" s="11" t="str">
        <x:v>MANUEL WEB DOĞRULAMA</x:v>
      </x:c>
      <x:c r="G216" s="11" t="str">
        <x:v>manual</x:v>
      </x:c>
      <x:c r="H216" s="11"/>
      <x:c r="I216" s="11" t="str">
        <x:v>FARKLI_RESMI_SITE_ONCELIKLI</x:v>
      </x:c>
      <x:c r="J216" s="11" t="str">
        <x:v>‎+90 534 769 70 02</x:v>
      </x:c>
      <x:c r="K216" s="12" t="str">
        <x:v>Resmî site üzerindeki ayırt edici marka/ticari unvan, Türkiye adresi veya fuar telefon eşleşmesiyle kimlik doğrulandı. İletişim yalnız doğrulanan resmî siteden alındı. Kimlik kanıtı: https://tr.osgeurope.com/tr</x:v>
      </x:c>
      <x:c r="L216" s="12"/>
      <x:c r="M216" s="12" t="str">
        <x:v>https://tr.osgeurope.com/tr</x:v>
      </x:c>
      <x:c r="N216" s="12" t="str">
        <x:v>https://www.maktekfuari.com/brand/osg-turkey-kesici-takimlar-san-ic-ve-dis-ticas</x:v>
      </x:c>
      <x:c r="O216" s="11" t="str">
        <x:v>11</x:v>
      </x:c>
      <x:c r="P216" s="11" t="str">
        <x:v>1127</x:v>
      </x:c>
      <x:c r="Q216" s="12" t="str">
        <x:v>OSG; SOMTA; BASS; FIUDI; EX-CELL-O; D’ANDREA; NTK</x:v>
      </x:c>
      <x:c r="R216" s="12" t="str">
        <x:v>D'ANDREA S.p.A.; REGO-FIX AG</x:v>
      </x:c>
    </x:row>
    <x:row r="217">
      <x:c r="A217" s="11" t="str">
        <x:v>OTR MAKİNA SAN VE TİC LTD ŞTİ</x:v>
      </x:c>
      <x:c r="B217" s="11" t="str">
        <x:v>https://www.okuma.eu/tr/</x:v>
      </x:c>
      <x:c r="C217" s="11"/>
      <x:c r="D217" s="11" t="str">
        <x:v>+90 444 8 237</x:v>
      </x:c>
      <x:c r="E217" s="11" t="str">
        <x:v>KISMI</x:v>
      </x:c>
      <x:c r="F217" s="11" t="str">
        <x:v>MANUEL WEB DOĞRULAMA</x:v>
      </x:c>
      <x:c r="G217" s="11" t="str">
        <x:v>manual</x:v>
      </x:c>
      <x:c r="H217" s="11"/>
      <x:c r="I217" s="11" t="str">
        <x:v>FARKLI_RESMI_SITE_ONCELIKLI</x:v>
      </x:c>
      <x:c r="J217" s="11" t="str">
        <x:v>‎+90 212 472 90 99</x:v>
      </x:c>
      <x:c r="K217" s="12" t="str">
        <x:v>Resmî site üzerindeki ayırt edici marka/ticari unvan, Türkiye adresi veya fuar telefon eşleşmesiyle kimlik doğrulandı. İletişim yalnız doğrulanan resmî siteden alındı. Kimlik kanıtı: https://www.okuma.eu/tr/distribuetoeruenuezue-bulun/</x:v>
      </x:c>
      <x:c r="L217" s="12"/>
      <x:c r="M217" s="12" t="str">
        <x:v>https://www.okuma.eu/tr/distribuetoeruenuezue-bulun/</x:v>
      </x:c>
      <x:c r="N217" s="12" t="str">
        <x:v>https://www.maktekfuari.com/brand/otr-makina-san-ve-tic-ltd-sti</x:v>
      </x:c>
      <x:c r="O217" s="11" t="str">
        <x:v>7</x:v>
      </x:c>
      <x:c r="P217" s="11" t="str">
        <x:v>708</x:v>
      </x:c>
      <x:c r="Q217" s="12"/>
      <x:c r="R217" s="12" t="str">
        <x:v>Okuma Europe GmbH</x:v>
      </x:c>
    </x:row>
    <x:row r="218">
      <x:c r="A218" s="11" t="str">
        <x:v>OVİS BİLİŞİM TEKNOLOJİLERİ TİC. LTD. ŞTİ</x:v>
      </x:c>
      <x:c r="B218" s="11" t="str">
        <x:v>https://www.ovis.ist/</x:v>
      </x:c>
      <x:c r="C218" s="11" t="str">
        <x:v>info@ovis.ist</x:v>
      </x:c>
      <x:c r="D218" s="11" t="str">
        <x:v>‎0212 951 06 00</x:v>
      </x:c>
      <x:c r="E218" s="11" t="str">
        <x:v>TAM</x:v>
      </x:c>
      <x:c r="F218" s="11" t="str">
        <x:v>MANUEL WEB DOĞRULAMA</x:v>
      </x:c>
      <x:c r="G218" s="11" t="str">
        <x:v>manual</x:v>
      </x:c>
      <x:c r="H218" s="11"/>
      <x:c r="I218" s="11" t="str">
        <x:v>MANUEL_ESLESTI</x:v>
      </x:c>
      <x:c r="J218" s="11" t="str">
        <x:v>‎+90 212 951 06 00</x:v>
      </x:c>
      <x:c r="K218" s="12" t="str">
        <x:v>Resmî site üzerindeki ayırt edici marka/ticari unvan, Türkiye adresi veya fuar telefon eşleşmesiyle kimlik doğrulandı. İletişim yalnız doğrulanan resmî siteden alındı. Kimlik kanıtı: https://www.ovis.ist/</x:v>
      </x:c>
      <x:c r="L218" s="12" t="str">
        <x:v>https://www.ovis.ist/</x:v>
      </x:c>
      <x:c r="M218" s="12" t="str">
        <x:v>https://www.ovis.ist/</x:v>
      </x:c>
      <x:c r="N218" s="12" t="str">
        <x:v>https://www.maktekfuari.com/brand/ovis-bilisim-teknolojileri-tic-ltd-sti</x:v>
      </x:c>
      <x:c r="O218" s="11" t="str">
        <x:v>6</x:v>
      </x:c>
      <x:c r="P218" s="11" t="str">
        <x:v>602</x:v>
      </x:c>
      <x:c r="Q218" s="12"/>
      <x:c r="R218" s="12" t="str">
        <x:v>Cincoze; INELMATIC CASTILLA Y LEON SL; ADVENTECH; SINTRONES</x:v>
      </x:c>
    </x:row>
    <x:row r="219">
      <x:c r="A219" s="3" t="str">
        <x:v>ÖZKA FABRİKA MALZEMELERİ VE TAKIM SANAYİ LTD ŞTİ</x:v>
      </x:c>
      <x:c r="B219" s="3" t="str">
        <x:v>https://www.makinaturkiye.com</x:v>
      </x:c>
      <x:c r="C219" s="3" t="str">
        <x:v>destek@makinaturkiye.com</x:v>
      </x:c>
      <x:c r="D219" s="3" t="str">
        <x:v>‎0850 511 16 66</x:v>
      </x:c>
      <x:c r="E219" s="3" t="str">
        <x:v>TAM</x:v>
      </x:c>
      <x:c r="F219" s="3" t="str">
        <x:v>SİSTEM</x:v>
      </x:c>
      <x:c r="G219" s="3" t="str">
        <x:v>high</x:v>
      </x:c>
      <x:c r="H219" s="3" t="str">
        <x:v>100</x:v>
      </x:c>
      <x:c r="I219" s="3" t="str">
        <x:v>FUAR_REFERANSI_YOK</x:v>
      </x:c>
      <x:c r="J219" s="3"/>
      <x:c r="K219" s="8"/>
      <x:c r="L219" s="8" t="str">
        <x:v>https://www.makinaturkiye.com/makinaturkiye-iletisim-y-183126</x:v>
      </x:c>
      <x:c r="M219" s="8" t="str">
        <x:v>https://www.makinaturkiye.com/makinaturkiye-iletisim-y-183126</x:v>
      </x:c>
      <x:c r="N219" s="8" t="str">
        <x:v>https://www.maktekfuari.com/brand/ozka-fabrika-malzemeleri-ve-takim-sanayi-ltd-sti</x:v>
      </x:c>
      <x:c r="O219" s="3" t="str">
        <x:v>7</x:v>
      </x:c>
      <x:c r="P219" s="3" t="str">
        <x:v>706</x:v>
      </x:c>
      <x:c r="Q219" s="8"/>
      <x:c r="R219" s="8"/>
    </x:row>
    <x:row r="220">
      <x:c r="A220" s="3" t="str">
        <x:v>ÖZKAYALI MAKİNA A.Ş.</x:v>
      </x:c>
      <x:c r="B220" s="3" t="str">
        <x:v>https://www.ozkayali.com.tr</x:v>
      </x:c>
      <x:c r="C220" s="3" t="str">
        <x:v>export@ozkayali.com.tr</x:v>
      </x:c>
      <x:c r="D220" s="3" t="str">
        <x:v>‎0332 345 46 14</x:v>
      </x:c>
      <x:c r="E220" s="3" t="str">
        <x:v>TAM</x:v>
      </x:c>
      <x:c r="F220" s="3" t="str">
        <x:v>SİSTEM</x:v>
      </x:c>
      <x:c r="G220" s="3" t="str">
        <x:v>high</x:v>
      </x:c>
      <x:c r="H220" s="3" t="str">
        <x:v>100</x:v>
      </x:c>
      <x:c r="I220" s="3" t="str">
        <x:v>ESLESTI</x:v>
      </x:c>
      <x:c r="J220" s="3" t="str">
        <x:v>‎+90 332 345 46 14</x:v>
      </x:c>
      <x:c r="K220" s="8"/>
      <x:c r="L220" s="8" t="str">
        <x:v>https://www.ozkayali.com.tr/tr/bize-ulasin/</x:v>
      </x:c>
      <x:c r="M220" s="8" t="str">
        <x:v>https://www.ozkayali.com.tr/tr/bize-ulasin/</x:v>
      </x:c>
      <x:c r="N220" s="8" t="str">
        <x:v>https://www.maktekfuari.com/brand/ozkayali-makina-as</x:v>
      </x:c>
      <x:c r="O220" s="3" t="str">
        <x:v>11</x:v>
      </x:c>
      <x:c r="P220" s="3" t="str">
        <x:v>1112</x:v>
      </x:c>
      <x:c r="Q220" s="8"/>
      <x:c r="R220" s="8"/>
    </x:row>
    <x:row r="221">
      <x:c r="A221" s="11" t="str">
        <x:v>ÖZVERİ TEKMAN AVENTEK MAKİNA VE CNC EKİPMANLARI</x:v>
      </x:c>
      <x:c r="B221" s="11" t="str">
        <x:v>https://www.aventekmakina.com</x:v>
      </x:c>
      <x:c r="C221" s="11" t="str">
        <x:v>info@aventekmakina.com</x:v>
      </x:c>
      <x:c r="D221" s="11" t="str">
        <x:v>‎+90 545 874 24 45</x:v>
      </x:c>
      <x:c r="E221" s="11" t="str">
        <x:v>TAM</x:v>
      </x:c>
      <x:c r="F221" s="11" t="str">
        <x:v>MANUEL WEB DOĞRULAMA</x:v>
      </x:c>
      <x:c r="G221" s="11" t="str">
        <x:v>manual</x:v>
      </x:c>
      <x:c r="H221" s="11"/>
      <x:c r="I221" s="11" t="str">
        <x:v>MANUEL_ESLESTI</x:v>
      </x:c>
      <x:c r="J221" s="11" t="str">
        <x:v>‎+90 545 874 24 45</x:v>
      </x:c>
      <x:c r="K221" s="12" t="str">
        <x:v>Resmî site üzerindeki ayırt edici marka/ticari unvan, Türkiye adresi veya fuar telefon eşleşmesiyle kimlik doğrulandı. İletişim yalnız doğrulanan resmî siteden alındı. Kimlik kanıtı: https://aventekmakina.com/gizlilik-politikalarimiz/</x:v>
      </x:c>
      <x:c r="L221" s="12" t="str">
        <x:v>https://aventekmakina.com/</x:v>
      </x:c>
      <x:c r="M221" s="12" t="str">
        <x:v>https://aventekmakina.com/</x:v>
      </x:c>
      <x:c r="N221" s="12" t="str">
        <x:v>https://www.maktekfuari.com/brand/ozveri-tekman-aventek-makina-ve-cnc-ekipmanlari</x:v>
      </x:c>
      <x:c r="O221" s="11" t="str">
        <x:v>12A</x:v>
      </x:c>
      <x:c r="P221" s="11" t="str">
        <x:v>50B</x:v>
      </x:c>
      <x:c r="Q221" s="12" t="str">
        <x:v>Heimatec</x:v>
      </x:c>
      <x:c r="R221" s="12" t="str">
        <x:v>Heimatec Gmbh</x:v>
      </x:c>
    </x:row>
    <x:row r="222">
      <x:c r="A222" s="3" t="str">
        <x:v>PERKO SANAYİ ÜRÜNLERİ TİCARETİ ANONİM ŞİRKETİ</x:v>
      </x:c>
      <x:c r="B222" s="3" t="str">
        <x:v>https://perko.com.tr</x:v>
      </x:c>
      <x:c r="C222" s="3" t="str">
        <x:v>info@perko.com.tr</x:v>
      </x:c>
      <x:c r="D222" s="3" t="str">
        <x:v>‎0262 502 44 94</x:v>
      </x:c>
      <x:c r="E222" s="3" t="str">
        <x:v>TAM</x:v>
      </x:c>
      <x:c r="F222" s="3" t="str">
        <x:v>SİSTEM</x:v>
      </x:c>
      <x:c r="G222" s="3" t="str">
        <x:v>medium</x:v>
      </x:c>
      <x:c r="H222" s="3" t="str">
        <x:v>81</x:v>
      </x:c>
      <x:c r="I222" s="3" t="str">
        <x:v>FARKLI_RESMI_SITE_ONCELIKLI</x:v>
      </x:c>
      <x:c r="J222" s="3" t="str">
        <x:v>‎+90 535 050 69 36</x:v>
      </x:c>
      <x:c r="K222" s="8"/>
      <x:c r="L222" s="8" t="str">
        <x:v>https://perko.com.tr</x:v>
      </x:c>
      <x:c r="M222" s="8" t="str">
        <x:v>https://perko.com.tr</x:v>
      </x:c>
      <x:c r="N222" s="8" t="str">
        <x:v>https://www.maktekfuari.com/brand/perko-sanayi-urunleri-ticareti-anonim-sirketi</x:v>
      </x:c>
      <x:c r="O222" s="3" t="str">
        <x:v>2</x:v>
      </x:c>
      <x:c r="P222" s="3" t="str">
        <x:v>226</x:v>
      </x:c>
      <x:c r="Q222" s="8" t="str">
        <x:v>Wikus</x:v>
      </x:c>
      <x:c r="R222" s="8" t="str">
        <x:v>KWS Chengdu YIBAI Technology Co.,Ltd; WIKUS-Sägenfabrik Wilhelm H. Kullmann GmbH &amp; Co. KG</x:v>
      </x:c>
    </x:row>
    <x:row r="223">
      <x:c r="A223" s="3" t="str">
        <x:v>PERPA MAKİNA ENDÜSTRİ SANAYİ VE TİC.LTD.ŞTİ.</x:v>
      </x:c>
      <x:c r="B223" s="3" t="str">
        <x:v>https://perpamakina.com</x:v>
      </x:c>
      <x:c r="C223" s="3" t="str">
        <x:v>info@perpamakina.com</x:v>
      </x:c>
      <x:c r="D223" s="3" t="str">
        <x:v>‎0212 613 54 74</x:v>
      </x:c>
      <x:c r="E223" s="3" t="str">
        <x:v>TAM</x:v>
      </x:c>
      <x:c r="F223" s="3" t="str">
        <x:v>SİSTEM</x:v>
      </x:c>
      <x:c r="G223" s="3" t="str">
        <x:v>high</x:v>
      </x:c>
      <x:c r="H223" s="3" t="str">
        <x:v>100</x:v>
      </x:c>
      <x:c r="I223" s="3" t="str">
        <x:v>ESLESTI</x:v>
      </x:c>
      <x:c r="J223" s="3" t="str">
        <x:v>‎+90 212 613 54 74</x:v>
      </x:c>
      <x:c r="K223" s="8"/>
      <x:c r="L223" s="8" t="str">
        <x:v>https://perpamakina.com</x:v>
      </x:c>
      <x:c r="M223" s="8" t="str">
        <x:v>https://perpamakina.com</x:v>
      </x:c>
      <x:c r="N223" s="8" t="str">
        <x:v>https://www.maktekfuari.com/brand/perpa-makina-endustri-sanayi-ve-ticltdsti</x:v>
      </x:c>
      <x:c r="O223" s="3" t="str">
        <x:v>8, 9</x:v>
      </x:c>
      <x:c r="P223" s="3" t="str">
        <x:v>806, 911</x:v>
      </x:c>
      <x:c r="Q223" s="8"/>
      <x:c r="R223" s="8" t="str">
        <x:v>FAR EAST MACHINERY (FEMCO); Litz Hitech Corporation; FERMAT CZ. S.R.O; EUMACH Company Limited; JOBS S.p.A.; Rambaudi; Sachman; CTEK TECHNOLOGY CORPORATION</x:v>
      </x:c>
    </x:row>
    <x:row r="224">
      <x:c r="A224" s="3" t="str">
        <x:v>Pİ DİJİTAL ENDÜSTRİ A.Ş.</x:v>
      </x:c>
      <x:c r="B224" s="3" t="str">
        <x:v>https://www.pilazerteknolojileri.com</x:v>
      </x:c>
      <x:c r="C224" s="3" t="str">
        <x:v>info@pilazersarf.com</x:v>
      </x:c>
      <x:c r="D224" s="3" t="str">
        <x:v>‎0850 840 03 14</x:v>
      </x:c>
      <x:c r="E224" s="3" t="str">
        <x:v>TAM</x:v>
      </x:c>
      <x:c r="F224" s="3" t="str">
        <x:v>SİSTEM</x:v>
      </x:c>
      <x:c r="G224" s="3" t="str">
        <x:v>medium</x:v>
      </x:c>
      <x:c r="H224" s="3" t="str">
        <x:v>85</x:v>
      </x:c>
      <x:c r="I224" s="3" t="str">
        <x:v>FARKLI_RESMI_SITE_ONCELIKLI</x:v>
      </x:c>
      <x:c r="J224" s="3" t="str">
        <x:v>‎+90 506 351 03 14</x:v>
      </x:c>
      <x:c r="K224" s="8"/>
      <x:c r="L224" s="8" t="str">
        <x:v>https://www.pilazerteknolojileri.com</x:v>
      </x:c>
      <x:c r="M224" s="8" t="str">
        <x:v>https://www.pilazerteknolojileri.com</x:v>
      </x:c>
      <x:c r="N224" s="8" t="str">
        <x:v>https://www.maktekfuari.com/brand/pi-dijital-endustri-as</x:v>
      </x:c>
      <x:c r="O224" s="3" t="str">
        <x:v>11A</x:v>
      </x:c>
      <x:c r="P224" s="3" t="str">
        <x:v>12</x:v>
      </x:c>
      <x:c r="Q224" s="8"/>
      <x:c r="R224" s="8"/>
    </x:row>
    <x:row r="225">
      <x:c r="A225" s="11" t="str">
        <x:v>Pİ KESİCİ TAKIM SANAYİ TİCARET LTD.</x:v>
      </x:c>
      <x:c r="B225" s="11" t="str">
        <x:v>https://www.pikesicitakim.com</x:v>
      </x:c>
      <x:c r="C225" s="11" t="str">
        <x:v>info@pikesicitakim.com.tr</x:v>
      </x:c>
      <x:c r="D225" s="11" t="str">
        <x:v>‎0312 354 03 14</x:v>
      </x:c>
      <x:c r="E225" s="11" t="str">
        <x:v>TAM</x:v>
      </x:c>
      <x:c r="F225" s="11" t="str">
        <x:v>SİSTEM + MANUEL ONAY</x:v>
      </x:c>
      <x:c r="G225" s="11" t="str">
        <x:v>high</x:v>
      </x:c>
      <x:c r="H225" s="11" t="str">
        <x:v>100</x:v>
      </x:c>
      <x:c r="I225" s="11" t="str">
        <x:v>MANUEL_DOGRULANDI</x:v>
      </x:c>
      <x:c r="J225" s="11" t="str">
        <x:v>‎+90 544 487 71 06</x:v>
      </x:c>
      <x:c r="K225" s="12" t="str">
        <x:v>Kullanıcı resmî firma ve iletişim bilgilerini manuel doğruladı.</x:v>
      </x:c>
      <x:c r="L225" s="12" t="str">
        <x:v>https://www.pikesicitakim.com</x:v>
      </x:c>
      <x:c r="M225" s="12" t="str">
        <x:v>https://www.pikesicitakim.com</x:v>
      </x:c>
      <x:c r="N225" s="12" t="str">
        <x:v>https://www.maktekfuari.com/brand/pi-kesici-takim-sanayi-ticaret-ltd</x:v>
      </x:c>
      <x:c r="O225" s="11" t="str">
        <x:v>12A</x:v>
      </x:c>
      <x:c r="P225" s="11" t="str">
        <x:v>24</x:v>
      </x:c>
      <x:c r="Q225" s="12" t="str">
        <x:v>FXTOOLS</x:v>
      </x:c>
      <x:c r="R225" s="12"/>
    </x:row>
    <x:row r="226">
      <x:c r="A226" s="11" t="str">
        <x:v>PİKSAN CNC METAL İŞLEME SAN VE TİC LTD ŞTİ</x:v>
      </x:c>
      <x:c r="B226" s="11" t="str">
        <x:v>https://www.toolex.com.tr</x:v>
      </x:c>
      <x:c r="C226" s="11" t="str">
        <x:v>info@toolex.com.tr</x:v>
      </x:c>
      <x:c r="D226" s="11" t="str">
        <x:v>‎+90 262 502 19 32</x:v>
      </x:c>
      <x:c r="E226" s="11" t="str">
        <x:v>TAM</x:v>
      </x:c>
      <x:c r="F226" s="11" t="str">
        <x:v>MANUEL WEB DOĞRULAMA</x:v>
      </x:c>
      <x:c r="G226" s="11" t="str">
        <x:v>manual</x:v>
      </x:c>
      <x:c r="H226" s="11"/>
      <x:c r="I226" s="11" t="str">
        <x:v>MANUEL_ESLESTI</x:v>
      </x:c>
      <x:c r="J226" s="11" t="str">
        <x:v>‎+90 262 502 19 32</x:v>
      </x:c>
      <x:c r="K226" s="12" t="str">
        <x:v>Resmî site üzerindeki ayırt edici marka/ticari unvan, Türkiye adresi veya fuar telefon eşleşmesiyle kimlik doğrulandı. İletişim yalnız doğrulanan resmî siteden alındı. Kimlik kanıtı: https://www.toolex.com.tr/kvkk-metni</x:v>
      </x:c>
      <x:c r="L226" s="12" t="str">
        <x:v>https://www.toolex.com.tr/</x:v>
      </x:c>
      <x:c r="M226" s="12" t="str">
        <x:v>https://www.toolex.com.tr/</x:v>
      </x:c>
      <x:c r="N226" s="12" t="str">
        <x:v>https://www.maktekfuari.com/brand/piksan-cnc-metal-isleme-san-ve-tic-ltd-sti</x:v>
      </x:c>
      <x:c r="O226" s="11" t="str">
        <x:v>11</x:v>
      </x:c>
      <x:c r="P226" s="11" t="str">
        <x:v>1122A</x:v>
      </x:c>
      <x:c r="Q226" s="12" t="str">
        <x:v>Toolex</x:v>
      </x:c>
      <x:c r="R226" s="12"/>
    </x:row>
    <x:row r="227">
      <x:c r="A227" s="3" t="str">
        <x:v>PMS MAKİNA VE SERVİS HİZM. SAN. VE TİC. LTD. ŞTİ.</x:v>
      </x:c>
      <x:c r="B227" s="3" t="str">
        <x:v>https://www.pmsmakina.com.tr</x:v>
      </x:c>
      <x:c r="C227" s="3" t="str">
        <x:v>info@pmsmakina.com.tr</x:v>
      </x:c>
      <x:c r="D227" s="3" t="str">
        <x:v>‎0216 658 79 81</x:v>
      </x:c>
      <x:c r="E227" s="3" t="str">
        <x:v>TAM</x:v>
      </x:c>
      <x:c r="F227" s="3" t="str">
        <x:v>SİSTEM</x:v>
      </x:c>
      <x:c r="G227" s="3" t="str">
        <x:v>medium</x:v>
      </x:c>
      <x:c r="H227" s="3" t="str">
        <x:v>87</x:v>
      </x:c>
      <x:c r="I227" s="3" t="str">
        <x:v>FARKLI_RESMI_SITE_ONCELIKLI</x:v>
      </x:c>
      <x:c r="J227" s="3" t="str">
        <x:v>‎+90 507 133 20 27</x:v>
      </x:c>
      <x:c r="K227" s="8"/>
      <x:c r="L227" s="8" t="str">
        <x:v>https://www.pmsmakina.com.tr</x:v>
      </x:c>
      <x:c r="M227" s="8" t="str">
        <x:v>https://www.pmsmakina.com.tr</x:v>
      </x:c>
      <x:c r="N227" s="8" t="str">
        <x:v>https://www.maktekfuari.com/brand/pms-makina-ve-servis-hizm-san-ve-tic-ltd-sti</x:v>
      </x:c>
      <x:c r="O227" s="3" t="str">
        <x:v>10</x:v>
      </x:c>
      <x:c r="P227" s="3" t="str">
        <x:v>1009</x:v>
      </x:c>
      <x:c r="Q227" s="8"/>
      <x:c r="R227" s="8" t="str">
        <x:v>LIEBHERR; SAMAG; KLINGELNBERG; THIELENHAUS; CESARE GALDABINI; HEESS</x:v>
      </x:c>
    </x:row>
    <x:row r="228">
      <x:c r="A228" s="3" t="str">
        <x:v>POWERPRESS ENDÜSTRİ MAKİNALARI İTH. İHR. SAN. VE TİC. A.Ş.</x:v>
      </x:c>
      <x:c r="B228" s="3" t="str">
        <x:v>https://powerpress.com.tr</x:v>
      </x:c>
      <x:c r="C228" s="3" t="str">
        <x:v>info@powerpress.com.tr</x:v>
      </x:c>
      <x:c r="D228" s="3" t="str">
        <x:v>‎0232 335 10 02</x:v>
      </x:c>
      <x:c r="E228" s="3" t="str">
        <x:v>TAM</x:v>
      </x:c>
      <x:c r="F228" s="3" t="str">
        <x:v>SİSTEM</x:v>
      </x:c>
      <x:c r="G228" s="3" t="str">
        <x:v>medium</x:v>
      </x:c>
      <x:c r="H228" s="3" t="str">
        <x:v>79</x:v>
      </x:c>
      <x:c r="I228" s="3" t="str">
        <x:v>FARKLI_RESMI_SITE_ONCELIKLI</x:v>
      </x:c>
      <x:c r="J228" s="3" t="str">
        <x:v>‎+90 530 497 77 46</x:v>
      </x:c>
      <x:c r="K228" s="8"/>
      <x:c r="L228" s="8" t="str">
        <x:v>https://powerpress.com.tr</x:v>
      </x:c>
      <x:c r="M228" s="8" t="str">
        <x:v>https://powerpress.com.tr</x:v>
      </x:c>
      <x:c r="N228" s="8" t="str">
        <x:v>https://www.maktekfuari.com/brand/powerpress-endustri-makinalari-ith-ihr-san-ve-tic-as</x:v>
      </x:c>
      <x:c r="O228" s="3" t="str">
        <x:v>11A</x:v>
      </x:c>
      <x:c r="P228" s="3" t="str">
        <x:v>49</x:v>
      </x:c>
      <x:c r="Q228" s="8" t="str">
        <x:v>Yangzhou Metalforming Machine Tool Co.; Ltd (YADON); GUANGDONG RUIHUI INTELLIGENT TECHNOLOGY CO.; LTD.; Huzhou Machine Tool Works Co.; Ltd</x:v>
      </x:c>
      <x:c r="R228" s="8" t="str">
        <x:v>Yangzhou Metalforming Machine Tool Co., Ltd (YADON); RUIHUI; Huzhou Machine Tool Works Co., Ltd</x:v>
      </x:c>
    </x:row>
    <x:row r="229">
      <x:c r="A229" s="11" t="str">
        <x:v>PRESTİJ YAYINCILIK BASIM HİZ. SAN. VE TİC. LTD. ŞTİ.</x:v>
      </x:c>
      <x:c r="B229" s="11" t="str">
        <x:v>https://www.prestijyayincilik.com.tr</x:v>
      </x:c>
      <x:c r="C229" s="11" t="str">
        <x:v>info@prestijyayincilik.com.tr</x:v>
      </x:c>
      <x:c r="D229" s="11" t="str">
        <x:v>‎+90 212 320 36 90</x:v>
      </x:c>
      <x:c r="E229" s="11" t="str">
        <x:v>TAM</x:v>
      </x:c>
      <x:c r="F229" s="11" t="str">
        <x:v>MANUEL WEB DOĞRULAMA</x:v>
      </x:c>
      <x:c r="G229" s="11" t="str">
        <x:v>manual</x:v>
      </x:c>
      <x:c r="H229" s="11"/>
      <x:c r="I229" s="11" t="str">
        <x:v>FUAR_REFERANSI_YOK</x:v>
      </x:c>
      <x:c r="J229" s="11"/>
      <x:c r="K229" s="12" t="str">
        <x:v>Resmî site üzerindeki ayırt edici marka/ticari unvan, Türkiye adresi veya fuar telefon eşleşmesiyle kimlik doğrulandı. İletişim yalnız doğrulanan resmî siteden alındı. Kimlik kanıtı: https://www.prestijyayincilik.com.tr/tr/iletisim/</x:v>
      </x:c>
      <x:c r="L229" s="12" t="str">
        <x:v>https://www.prestijyayincilik.com.tr/tr/iletisim/</x:v>
      </x:c>
      <x:c r="M229" s="12" t="str">
        <x:v>https://www.prestijyayincilik.com.tr/tr/iletisim/</x:v>
      </x:c>
      <x:c r="N229" s="12" t="str">
        <x:v>https://www.maktekfuari.com/brand/prestij-yayincilik-basim-hiz-san-ve-tic-ltd-sti</x:v>
      </x:c>
      <x:c r="O229" s="11" t="str">
        <x:v>SalonNo</x:v>
      </x:c>
      <x:c r="P229" s="11" t="str">
        <x:v>StandNo</x:v>
      </x:c>
      <x:c r="Q229" s="12"/>
      <x:c r="R229" s="12"/>
    </x:row>
    <x:row r="230">
      <x:c r="A230" s="3" t="str">
        <x:v>PROART MÜHENDİSLİK A.Ş</x:v>
      </x:c>
      <x:c r="B230" s="3" t="str">
        <x:v>https://www.proarttech.com</x:v>
      </x:c>
      <x:c r="C230" s="3" t="str">
        <x:v>proart@proarttech.com</x:v>
      </x:c>
      <x:c r="D230" s="3" t="str">
        <x:v>‎0545 834 94 80</x:v>
      </x:c>
      <x:c r="E230" s="3" t="str">
        <x:v>TAM</x:v>
      </x:c>
      <x:c r="F230" s="3" t="str">
        <x:v>SİSTEM</x:v>
      </x:c>
      <x:c r="G230" s="3" t="str">
        <x:v>medium</x:v>
      </x:c>
      <x:c r="H230" s="3" t="str">
        <x:v>85</x:v>
      </x:c>
      <x:c r="I230" s="3" t="str">
        <x:v>FARKLI_RESMI_SITE_ONCELIKLI</x:v>
      </x:c>
      <x:c r="J230" s="3" t="str">
        <x:v>‎+90 262 335 30 19</x:v>
      </x:c>
      <x:c r="K230" s="8"/>
      <x:c r="L230" s="8" t="str">
        <x:v>https://www.proarttech.com</x:v>
      </x:c>
      <x:c r="M230" s="8" t="str">
        <x:v>https://www.proarttech.com</x:v>
      </x:c>
      <x:c r="N230" s="8" t="str">
        <x:v>https://www.maktekfuari.com/brand/proart-muhendislik-as</x:v>
      </x:c>
      <x:c r="O230" s="3" t="str">
        <x:v>11</x:v>
      </x:c>
      <x:c r="P230" s="3" t="str">
        <x:v>1171</x:v>
      </x:c>
      <x:c r="Q230" s="8" t="str">
        <x:v>TUNGALOY-NTK; FARCUT MÜHENDİSLİK A.Ş; NEHER DIA.</x:v>
      </x:c>
      <x:c r="R230" s="8" t="str">
        <x:v>TUNGALOY-NTK; NEHER DIA.</x:v>
      </x:c>
    </x:row>
    <x:row r="231">
      <x:c r="A231" s="11" t="str">
        <x:v>PROFİSAN MAKİNA OTOMOTİV NAKLİYE TEMİZLİK MEDYA SANAYİ TİCARET LTD.ŞTİ.</x:v>
      </x:c>
      <x:c r="B231" s="11" t="str">
        <x:v>https://www.radusdergisi.com</x:v>
      </x:c>
      <x:c r="C231" s="11"/>
      <x:c r="D231" s="11" t="str">
        <x:v>‎+90 549 548 99 19</x:v>
      </x:c>
      <x:c r="E231" s="11" t="str">
        <x:v>KISMI</x:v>
      </x:c>
      <x:c r="F231" s="11" t="str">
        <x:v>MANUEL WEB DOĞRULAMA</x:v>
      </x:c>
      <x:c r="G231" s="11" t="str">
        <x:v>manual</x:v>
      </x:c>
      <x:c r="H231" s="11"/>
      <x:c r="I231" s="11" t="str">
        <x:v>MANUEL_ESLESTI</x:v>
      </x:c>
      <x:c r="J231" s="11" t="str">
        <x:v>‎+90 549 548 99 19</x:v>
      </x:c>
      <x:c r="K231" s="12" t="str">
        <x:v>Resmî site üzerindeki ayırt edici marka/ticari unvan, Türkiye adresi veya fuar telefon eşleşmesiyle kimlik doğrulandı. İletişim yalnız doğrulanan resmî siteden alındı. Kimlik kanıtı: https://www.radusdergisi.com/</x:v>
      </x:c>
      <x:c r="L231" s="12"/>
      <x:c r="M231" s="12" t="str">
        <x:v>https://www.radusdergisi.com/</x:v>
      </x:c>
      <x:c r="N231" s="12" t="str">
        <x:v>https://www.maktekfuari.com/brand/profisan-makina-otomotiv-nakliye-temizlik-medya-sanayi-ticaret-ltdsti</x:v>
      </x:c>
      <x:c r="O231" s="11" t="str">
        <x:v>SalonNo</x:v>
      </x:c>
      <x:c r="P231" s="11" t="str">
        <x:v>StandNo</x:v>
      </x:c>
      <x:c r="Q231" s="12"/>
      <x:c r="R231" s="12"/>
    </x:row>
    <x:row r="232">
      <x:c r="A232" s="3" t="str">
        <x:v>PROLİNE ENERJİ A.Ş.</x:v>
      </x:c>
      <x:c r="B232" s="3" t="str">
        <x:v>https://prolineenerji.com.tr</x:v>
      </x:c>
      <x:c r="C232" s="3" t="str">
        <x:v>info@prolineenerji.com.tr</x:v>
      </x:c>
      <x:c r="D232" s="3" t="str">
        <x:v>‎0850 360 23 82</x:v>
      </x:c>
      <x:c r="E232" s="3" t="str">
        <x:v>TAM</x:v>
      </x:c>
      <x:c r="F232" s="3" t="str">
        <x:v>SİSTEM</x:v>
      </x:c>
      <x:c r="G232" s="3" t="str">
        <x:v>medium</x:v>
      </x:c>
      <x:c r="H232" s="3" t="str">
        <x:v>85</x:v>
      </x:c>
      <x:c r="I232" s="3" t="str">
        <x:v>ESLESTI</x:v>
      </x:c>
      <x:c r="J232" s="3" t="str">
        <x:v>‎+90 533 027 73 94</x:v>
      </x:c>
      <x:c r="K232" s="8"/>
      <x:c r="L232" s="8" t="str">
        <x:v>https://prolineenerji.com.tr/kontakt</x:v>
      </x:c>
      <x:c r="M232" s="8" t="str">
        <x:v>https://prolineenerji.com.tr/kontakt</x:v>
      </x:c>
      <x:c r="N232" s="8" t="str">
        <x:v>https://www.maktekfuari.com/brand/proline-enerji-as</x:v>
      </x:c>
      <x:c r="O232" s="3" t="str">
        <x:v>11A</x:v>
      </x:c>
      <x:c r="P232" s="3" t="str">
        <x:v>09</x:v>
      </x:c>
      <x:c r="Q232" s="8"/>
      <x:c r="R232" s="8"/>
    </x:row>
    <x:row r="233">
      <x:c r="A233" s="3" t="str">
        <x:v>PROMAK PRES OTOMASYON MAK. SAN VE TIC. LTD. ŞTİ</x:v>
      </x:c>
      <x:c r="B233" s="3" t="str">
        <x:v>https://www.promakmakina.com</x:v>
      </x:c>
      <x:c r="C233" s="3" t="str">
        <x:v>info@promakmakina.com</x:v>
      </x:c>
      <x:c r="D233" s="3" t="str">
        <x:v>‎0212 320 85 10</x:v>
      </x:c>
      <x:c r="E233" s="3" t="str">
        <x:v>TAM</x:v>
      </x:c>
      <x:c r="F233" s="3" t="str">
        <x:v>SİSTEM</x:v>
      </x:c>
      <x:c r="G233" s="3" t="str">
        <x:v>high</x:v>
      </x:c>
      <x:c r="H233" s="3" t="str">
        <x:v>100</x:v>
      </x:c>
      <x:c r="I233" s="3" t="str">
        <x:v>ESLESTI</x:v>
      </x:c>
      <x:c r="J233" s="3" t="str">
        <x:v>‎+90 212 320 85 10</x:v>
      </x:c>
      <x:c r="K233" s="8"/>
      <x:c r="L233" s="8" t="str">
        <x:v>https://www.promakmakina.com/web/tr/iletisim.html</x:v>
      </x:c>
      <x:c r="M233" s="8" t="str">
        <x:v>https://www.promakmakina.com</x:v>
      </x:c>
      <x:c r="N233" s="8" t="str">
        <x:v>https://www.maktekfuari.com/brand/promak-pres-otomasyon-mak-san-ve-tic-ltd-sti</x:v>
      </x:c>
      <x:c r="O233" s="3" t="str">
        <x:v>1</x:v>
      </x:c>
      <x:c r="P233" s="3" t="str">
        <x:v>108</x:v>
      </x:c>
      <x:c r="Q233" s="8" t="str">
        <x:v>SUPROTECH</x:v>
      </x:c>
      <x:c r="R233" s="8" t="str">
        <x:v>KTI; PA INDUSTRIES; GOIZPER; FORWELL; BORDIGNON; DIMECO; GPA AUTOMATION; INTERCOM SRL; NGK BERYLCO FRANCE</x:v>
      </x:c>
    </x:row>
    <x:row r="234">
      <x:c r="A234" s="3" t="str">
        <x:v>R KOMPRESÖR MAK SAN VE TİC LTD ŞTİ</x:v>
      </x:c>
      <x:c r="B234" s="3" t="str">
        <x:v>https://www.rkom.com.tr</x:v>
      </x:c>
      <x:c r="C234" s="3" t="str">
        <x:v>info@rkom.com.tr</x:v>
      </x:c>
      <x:c r="D234" s="3" t="str">
        <x:v>‎0232 472 16 16</x:v>
      </x:c>
      <x:c r="E234" s="3" t="str">
        <x:v>TAM</x:v>
      </x:c>
      <x:c r="F234" s="3" t="str">
        <x:v>SİSTEM</x:v>
      </x:c>
      <x:c r="G234" s="3" t="str">
        <x:v>medium</x:v>
      </x:c>
      <x:c r="H234" s="3" t="str">
        <x:v>87</x:v>
      </x:c>
      <x:c r="I234" s="3" t="str">
        <x:v>ESLESTI</x:v>
      </x:c>
      <x:c r="J234" s="3" t="str">
        <x:v>‎+90 232 472 16 16</x:v>
      </x:c>
      <x:c r="K234" s="8"/>
      <x:c r="L234" s="8" t="str">
        <x:v>https://www.rkom.com.tr</x:v>
      </x:c>
      <x:c r="M234" s="8" t="str">
        <x:v>https://www.rkom.com.tr</x:v>
      </x:c>
      <x:c r="N234" s="8" t="str">
        <x:v>https://www.maktekfuari.com/brand/r-kompresor-mak-san-ve-tic-ltd-sti</x:v>
      </x:c>
      <x:c r="O234" s="3" t="str">
        <x:v>11A</x:v>
      </x:c>
      <x:c r="P234" s="3" t="str">
        <x:v>05</x:v>
      </x:c>
      <x:c r="Q234" s="8" t="str">
        <x:v>Filtermist; Donaldson; Kerstar; TST</x:v>
      </x:c>
      <x:c r="R234" s="8" t="str">
        <x:v>Filtermist; Kerstar; Donaldson</x:v>
      </x:c>
    </x:row>
    <x:row r="235">
      <x:c r="A235" s="11" t="str">
        <x:v>RECUS LAZER SİSTEMLERİ VE TEKNİK SERVİS HİZ. SAN. TİC. LTD. ŞTİ.</x:v>
      </x:c>
      <x:c r="B235" s="11" t="str">
        <x:v>https://recuslazer.com/</x:v>
      </x:c>
      <x:c r="C235" s="11"/>
      <x:c r="D235" s="11" t="str">
        <x:v>‎+90 553 840 18 55</x:v>
      </x:c>
      <x:c r="E235" s="11" t="str">
        <x:v>KISMI</x:v>
      </x:c>
      <x:c r="F235" s="11" t="str">
        <x:v>MANUEL WEB DOĞRULAMA</x:v>
      </x:c>
      <x:c r="G235" s="11" t="str">
        <x:v>manual</x:v>
      </x:c>
      <x:c r="H235" s="11"/>
      <x:c r="I235" s="11" t="str">
        <x:v>FUAR_REFERANSI_YOK</x:v>
      </x:c>
      <x:c r="J235" s="11"/>
      <x:c r="K235" s="12" t="str">
        <x:v>Resmî site üzerindeki ayırt edici marka/ticari unvan, Türkiye adresi veya fuar telefon eşleşmesiyle kimlik doğrulandı. İletişim yalnız doğrulanan resmî siteden alındı. Kimlik kanıtı: https://recuslazer.com/</x:v>
      </x:c>
      <x:c r="L235" s="12"/>
      <x:c r="M235" s="12" t="str">
        <x:v>https://recuslazer.com/</x:v>
      </x:c>
      <x:c r="N235" s="12" t="str">
        <x:v>https://www.maktekfuari.com/brand/recus-lazer-sistemleri-ve-teknik-servis-hiz-san-tic-ltd-sti</x:v>
      </x:c>
      <x:c r="O235" s="11" t="str">
        <x:v>12A</x:v>
      </x:c>
      <x:c r="P235" s="11" t="str">
        <x:v>26</x:v>
      </x:c>
      <x:c r="Q235" s="12"/>
      <x:c r="R235" s="12"/>
    </x:row>
    <x:row r="236">
      <x:c r="A236" s="3" t="str">
        <x:v>REDOKS MÜHENDİSLİK BİLG. KALIP MAK. TAS. SAN.TİC. LTD. ŞTİ.</x:v>
      </x:c>
      <x:c r="B236" s="3" t="str">
        <x:v>https://www.redoks.com.tr</x:v>
      </x:c>
      <x:c r="C236" s="3" t="str">
        <x:v>info@redoks.com.tr</x:v>
      </x:c>
      <x:c r="D236" s="3" t="str">
        <x:v>‎0224 211 62 00</x:v>
      </x:c>
      <x:c r="E236" s="3" t="str">
        <x:v>TAM</x:v>
      </x:c>
      <x:c r="F236" s="3" t="str">
        <x:v>SİSTEM</x:v>
      </x:c>
      <x:c r="G236" s="3" t="str">
        <x:v>medium</x:v>
      </x:c>
      <x:c r="H236" s="3" t="str">
        <x:v>87</x:v>
      </x:c>
      <x:c r="I236" s="3" t="str">
        <x:v>ESLESTI</x:v>
      </x:c>
      <x:c r="J236" s="3" t="str">
        <x:v>‎+90 224 211 62 00</x:v>
      </x:c>
      <x:c r="K236" s="8"/>
      <x:c r="L236" s="8" t="str">
        <x:v>https://www.redoks.com.tr</x:v>
      </x:c>
      <x:c r="M236" s="8" t="str">
        <x:v>https://www.redoks.com.tr</x:v>
      </x:c>
      <x:c r="N236" s="8" t="str">
        <x:v>https://www.maktekfuari.com/brand/redoks-muhendislik-bilg-kalip-mak-tas-santic-ltd-sti</x:v>
      </x:c>
      <x:c r="O236" s="3" t="str">
        <x:v>12</x:v>
      </x:c>
      <x:c r="P236" s="3" t="str">
        <x:v>1207</x:v>
      </x:c>
      <x:c r="Q236" s="8"/>
      <x:c r="R236" s="8" t="str">
        <x:v>Tebis AG</x:v>
      </x:c>
    </x:row>
    <x:row r="237">
      <x:c r="A237" s="3" t="str">
        <x:v>REDON TEKNOLOJİ A.Ş.</x:v>
      </x:c>
      <x:c r="B237" s="3" t="str">
        <x:v>https://www.redon.com</x:v>
      </x:c>
      <x:c r="C237" s="3" t="str">
        <x:v>ik@redon.com</x:v>
      </x:c>
      <x:c r="D237" s="3" t="str">
        <x:v>‎0216 473 73 72</x:v>
      </x:c>
      <x:c r="E237" s="3" t="str">
        <x:v>TAM</x:v>
      </x:c>
      <x:c r="F237" s="3" t="str">
        <x:v>SİSTEM</x:v>
      </x:c>
      <x:c r="G237" s="3" t="str">
        <x:v>high</x:v>
      </x:c>
      <x:c r="H237" s="3" t="str">
        <x:v>100</x:v>
      </x:c>
      <x:c r="I237" s="3" t="str">
        <x:v>FARKLI_RESMI_SITE_ONCELIKLI</x:v>
      </x:c>
      <x:c r="J237" s="3" t="str">
        <x:v>‎+90 539 669 55 52</x:v>
      </x:c>
      <x:c r="K237" s="8"/>
      <x:c r="L237" s="8" t="str">
        <x:v>https://www.redon.com/corporate/kariyer</x:v>
      </x:c>
      <x:c r="M237" s="8" t="str">
        <x:v>https://www.redon.com</x:v>
      </x:c>
      <x:c r="N237" s="8" t="str">
        <x:v>https://www.maktekfuari.com/brand/redon-teknoloji-as</x:v>
      </x:c>
      <x:c r="O237" s="3" t="str">
        <x:v>12</x:v>
      </x:c>
      <x:c r="P237" s="3" t="str">
        <x:v>1204</x:v>
      </x:c>
      <x:c r="Q237" s="8"/>
      <x:c r="R237" s="8"/>
    </x:row>
    <x:row r="238">
      <x:c r="A238" s="3" t="str">
        <x:v>REHA HİDROLİK MAKİNA İMALAT SANAYİ VE TİCARET LİMİTED ŞİRKETİ</x:v>
      </x:c>
      <x:c r="B238" s="3" t="str">
        <x:v>https://www.rehamakina.com</x:v>
      </x:c>
      <x:c r="C238" s="3" t="str">
        <x:v>info@rehamakina.com</x:v>
      </x:c>
      <x:c r="D238" s="3" t="str">
        <x:v>‎0332 346 34 40</x:v>
      </x:c>
      <x:c r="E238" s="3" t="str">
        <x:v>TAM</x:v>
      </x:c>
      <x:c r="F238" s="3" t="str">
        <x:v>SİSTEM</x:v>
      </x:c>
      <x:c r="G238" s="3" t="str">
        <x:v>medium</x:v>
      </x:c>
      <x:c r="H238" s="3" t="str">
        <x:v>87</x:v>
      </x:c>
      <x:c r="I238" s="3" t="str">
        <x:v>FARKLI_RESMI_SITE_ONCELIKLI</x:v>
      </x:c>
      <x:c r="J238" s="3" t="str">
        <x:v>‎+90 532 677 08 02</x:v>
      </x:c>
      <x:c r="K238" s="8"/>
      <x:c r="L238" s="8" t="str">
        <x:v>https://www.rehamakina.com</x:v>
      </x:c>
      <x:c r="M238" s="8" t="str">
        <x:v>https://www.rehamakina.com</x:v>
      </x:c>
      <x:c r="N238" s="8" t="str">
        <x:v>https://www.maktekfuari.com/brand/reha-hidrolik-makina-imalat-sanayi-ve-ticaret-limited-sirketi</x:v>
      </x:c>
      <x:c r="O238" s="3" t="str">
        <x:v>1</x:v>
      </x:c>
      <x:c r="P238" s="3" t="str">
        <x:v>102</x:v>
      </x:c>
      <x:c r="Q238" s="8"/>
      <x:c r="R238" s="8"/>
    </x:row>
    <x:row r="239">
      <x:c r="A239" s="11" t="str">
        <x:v>RENİSHAW TEKNOLOJİ ÇÖZÜMLERİ LTD ŞTİ</x:v>
      </x:c>
      <x:c r="B239" s="11" t="str">
        <x:v>https://www.renishaw.com.tr</x:v>
      </x:c>
      <x:c r="C239" s="11"/>
      <x:c r="D239" s="11"/>
      <x:c r="E239" s="11" t="str">
        <x:v>KISMI</x:v>
      </x:c>
      <x:c r="F239" s="11" t="str">
        <x:v>MANUEL WEB DOĞRULAMA</x:v>
      </x:c>
      <x:c r="G239" s="11" t="str">
        <x:v>manual</x:v>
      </x:c>
      <x:c r="H239" s="11"/>
      <x:c r="I239" s="11" t="str">
        <x:v>TELEFON_YOK</x:v>
      </x:c>
      <x:c r="J239" s="11" t="str">
        <x:v>‎+90 216 380 92 40</x:v>
      </x:c>
      <x:c r="K239" s="12" t="str">
        <x:v>Resmî site üzerindeki ayırt edici marka/ticari unvan, Türkiye adresi veya fuar telefon eşleşmesiyle kimlik doğrulandı. İletişim yalnız doğrulanan resmî siteden alındı. Kimlik kanıtı: https://www.renishaw.com/tr/renishaw-medikal-sekt%c3%b6r%c3%bc-ve-imalatta-verimlili%c4%9fi-art%c4%b1r%c4%b1r--1030</x:v>
      </x:c>
      <x:c r="L239" s="12"/>
      <x:c r="M239" s="12"/>
      <x:c r="N239" s="12" t="str">
        <x:v>https://www.maktekfuari.com/brand/renishaw-teknoloji-cozumleri-ltd-sti</x:v>
      </x:c>
      <x:c r="O239" s="11" t="str">
        <x:v>8</x:v>
      </x:c>
      <x:c r="P239" s="11" t="str">
        <x:v>813</x:v>
      </x:c>
      <x:c r="Q239" s="12"/>
      <x:c r="R239" s="12"/>
    </x:row>
    <x:row r="240">
      <x:c r="A240" s="11" t="str">
        <x:v>ROTHENBERGER TESİSAT ALET VE MAK.SAN.TİC.LTD.ŞTİ.</x:v>
      </x:c>
      <x:c r="B240" s="11" t="str">
        <x:v>https://rothenberger.com/tr-tr</x:v>
      </x:c>
      <x:c r="C240" s="11"/>
      <x:c r="D240" s="11"/>
      <x:c r="E240" s="11" t="str">
        <x:v>KISMI</x:v>
      </x:c>
      <x:c r="F240" s="11" t="str">
        <x:v>MANUEL WEB DOĞRULAMA</x:v>
      </x:c>
      <x:c r="G240" s="11" t="str">
        <x:v>manual</x:v>
      </x:c>
      <x:c r="H240" s="11"/>
      <x:c r="I240" s="11" t="str">
        <x:v>TELEFON_YOK</x:v>
      </x:c>
      <x:c r="J240" s="11" t="str">
        <x:v>‎+90 555 534 67 07</x:v>
      </x:c>
      <x:c r="K240" s="12" t="str">
        <x:v>Resmî site üzerindeki ayırt edici marka/ticari unvan, Türkiye adresi veya fuar telefon eşleşmesiyle kimlik doğrulandı. İletişim yalnız doğrulanan resmî siteden alındı. Kimlik kanıtı: https://rothenberger.com/tr-tr</x:v>
      </x:c>
      <x:c r="L240" s="12"/>
      <x:c r="M240" s="12"/>
      <x:c r="N240" s="12" t="str">
        <x:v>https://www.maktekfuari.com/brand/rothenberger-tesisat-alet-ve-maksanticltdsti</x:v>
      </x:c>
      <x:c r="O240" s="11" t="str">
        <x:v>11</x:v>
      </x:c>
      <x:c r="P240" s="11" t="str">
        <x:v>1107A</x:v>
      </x:c>
      <x:c r="Q240" s="12" t="str">
        <x:v>RUKO</x:v>
      </x:c>
      <x:c r="R240" s="12" t="str">
        <x:v>RUKO TÜRKİYE</x:v>
      </x:c>
    </x:row>
    <x:row r="241">
      <x:c r="A241" s="3" t="str">
        <x:v>RUBY MAKİNA SANAYİ TİCARET ANONİM ŞİRKETİ</x:v>
      </x:c>
      <x:c r="B241" s="3" t="str">
        <x:v>https://rubymakina.com</x:v>
      </x:c>
      <x:c r="C241" s="3" t="str">
        <x:v>info@rubymakina.com</x:v>
      </x:c>
      <x:c r="D241" s="3" t="str">
        <x:v>‎0538 348 33 36</x:v>
      </x:c>
      <x:c r="E241" s="3" t="str">
        <x:v>TAM</x:v>
      </x:c>
      <x:c r="F241" s="3" t="str">
        <x:v>SİSTEM</x:v>
      </x:c>
      <x:c r="G241" s="3" t="str">
        <x:v>high</x:v>
      </x:c>
      <x:c r="H241" s="3" t="str">
        <x:v>100</x:v>
      </x:c>
      <x:c r="I241" s="3" t="str">
        <x:v>FARKLI_RESMI_SITE_ONCELIKLI</x:v>
      </x:c>
      <x:c r="J241" s="3" t="str">
        <x:v>+904447829</x:v>
      </x:c>
      <x:c r="K241" s="8"/>
      <x:c r="L241" s="8" t="str">
        <x:v>https://rubymakina.com</x:v>
      </x:c>
      <x:c r="M241" s="8" t="str">
        <x:v>https://rubymakina.com</x:v>
      </x:c>
      <x:c r="N241" s="8" t="str">
        <x:v>https://www.maktekfuari.com/brand/ruby-makina-sanayi-ticaret-anonim-sirketi</x:v>
      </x:c>
      <x:c r="O241" s="3" t="str">
        <x:v>11A</x:v>
      </x:c>
      <x:c r="P241" s="3" t="str">
        <x:v>34</x:v>
      </x:c>
      <x:c r="Q241" s="8"/>
      <x:c r="R241" s="8"/>
    </x:row>
    <x:row r="242">
      <x:c r="A242" s="3" t="str">
        <x:v>SAĞLAMLAR PUNTA KAYNAK OTOM. MAK. SAN. TİC. LTD. ŞTİ.</x:v>
      </x:c>
      <x:c r="B242" s="3" t="str">
        <x:v>https://www.saglammakina.com</x:v>
      </x:c>
      <x:c r="C242" s="3" t="str">
        <x:v>bilgi@saglammakina.com</x:v>
      </x:c>
      <x:c r="D242" s="3" t="str">
        <x:v>‎0224 482 44 82</x:v>
      </x:c>
      <x:c r="E242" s="3" t="str">
        <x:v>TAM</x:v>
      </x:c>
      <x:c r="F242" s="3" t="str">
        <x:v>SİSTEM</x:v>
      </x:c>
      <x:c r="G242" s="3" t="str">
        <x:v>medium</x:v>
      </x:c>
      <x:c r="H242" s="3" t="str">
        <x:v>87</x:v>
      </x:c>
      <x:c r="I242" s="3" t="str">
        <x:v>FARKLI_RESMI_SITE_ONCELIKLI</x:v>
      </x:c>
      <x:c r="J242" s="3" t="str">
        <x:v>‎+90 224 482 30 25</x:v>
      </x:c>
      <x:c r="K242" s="8"/>
      <x:c r="L242" s="8" t="str">
        <x:v>https://www.saglammakina.com</x:v>
      </x:c>
      <x:c r="M242" s="8" t="str">
        <x:v>https://www.saglammakina.com</x:v>
      </x:c>
      <x:c r="N242" s="8" t="str">
        <x:v>https://www.maktekfuari.com/brand/saglamlar-punta-kaynak-otom-mak-san-tic-ltd-sti</x:v>
      </x:c>
      <x:c r="O242" s="3" t="str">
        <x:v>2</x:v>
      </x:c>
      <x:c r="P242" s="3" t="str">
        <x:v>223</x:v>
      </x:c>
      <x:c r="Q242" s="8"/>
      <x:c r="R242" s="8"/>
    </x:row>
    <x:row r="243">
      <x:c r="A243" s="11" t="str">
        <x:v>SANPA ELEK. MALZ PAZ TİC.VE SAN. LTD. ŞTİ.</x:v>
      </x:c>
      <x:c r="B243" s="11" t="str">
        <x:v>https://www.sanpaltd.com.tr/</x:v>
      </x:c>
      <x:c r="C243" s="11" t="str">
        <x:v>info@sanpaltd.com.tr</x:v>
      </x:c>
      <x:c r="D243" s="11" t="str">
        <x:v>‎+90 216 478 07 12</x:v>
      </x:c>
      <x:c r="E243" s="11" t="str">
        <x:v>TAM</x:v>
      </x:c>
      <x:c r="F243" s="11" t="str">
        <x:v>MANUEL WEB DOĞRULAMA</x:v>
      </x:c>
      <x:c r="G243" s="11" t="str">
        <x:v>manual</x:v>
      </x:c>
      <x:c r="H243" s="11"/>
      <x:c r="I243" s="11" t="str">
        <x:v>FUAR_REFERANSI_YOK</x:v>
      </x:c>
      <x:c r="J243" s="11"/>
      <x:c r="K243" s="12" t="str">
        <x:v>Resmî site üzerindeki ayırt edici marka/ticari unvan, Türkiye adresi veya fuar telefon eşleşmesiyle kimlik doğrulandı. İletişim yalnız doğrulanan resmî siteden alındı. Kimlik kanıtı: https://www.sanpaltd.com.tr/</x:v>
      </x:c>
      <x:c r="L243" s="12" t="str">
        <x:v>https://www.sanpaltd.com.tr/</x:v>
      </x:c>
      <x:c r="M243" s="12" t="str">
        <x:v>https://www.sanpaltd.com.tr/</x:v>
      </x:c>
      <x:c r="N243" s="12" t="str">
        <x:v>https://www.maktekfuari.com/brand/sanpa-elek-malz-paz-ticve-san-ltd-sti</x:v>
      </x:c>
      <x:c r="O243" s="11" t="str">
        <x:v>2</x:v>
      </x:c>
      <x:c r="P243" s="11" t="str">
        <x:v>210</x:v>
      </x:c>
      <x:c r="Q243" s="12"/>
      <x:c r="R243" s="12"/>
    </x:row>
    <x:row r="244">
      <x:c r="A244" s="3" t="str">
        <x:v>SARIGÖL KONVEYÖR SİST. MAK. YEDEK PARÇA NAK. İTH. İHR. SAN. VE TİC. LTD. ŞTİ.</x:v>
      </x:c>
      <x:c r="B244" s="3" t="str">
        <x:v>https://sarigolkonveyor.com</x:v>
      </x:c>
      <x:c r="C244" s="3" t="str">
        <x:v>info@sarigolkonveyor.com</x:v>
      </x:c>
      <x:c r="D244" s="3" t="str">
        <x:v>‎0454 355 55 55</x:v>
      </x:c>
      <x:c r="E244" s="3" t="str">
        <x:v>TAM</x:v>
      </x:c>
      <x:c r="F244" s="3" t="str">
        <x:v>SİSTEM</x:v>
      </x:c>
      <x:c r="G244" s="3" t="str">
        <x:v>high</x:v>
      </x:c>
      <x:c r="H244" s="3" t="str">
        <x:v>100</x:v>
      </x:c>
      <x:c r="I244" s="3" t="str">
        <x:v>ESLESTI</x:v>
      </x:c>
      <x:c r="J244" s="3" t="str">
        <x:v>‎+90 454 355 55 55</x:v>
      </x:c>
      <x:c r="K244" s="8"/>
      <x:c r="L244" s="8" t="str">
        <x:v>https://sarigolkonveyor.com/en/contact/#map</x:v>
      </x:c>
      <x:c r="M244" s="8" t="str">
        <x:v>https://sarigolkonveyor.com/en/contact/#map</x:v>
      </x:c>
      <x:c r="N244" s="8" t="str">
        <x:v>https://www.maktekfuari.com/brand/sarigol-konveyor-sist-mak-yedek-parca-nak-ith-ihr-san-ve-tic-ltd-sti</x:v>
      </x:c>
      <x:c r="O244" s="3" t="str">
        <x:v>11A</x:v>
      </x:c>
      <x:c r="P244" s="3" t="str">
        <x:v>36</x:v>
      </x:c>
      <x:c r="Q244" s="8"/>
      <x:c r="R244" s="8"/>
    </x:row>
    <x:row r="245">
      <x:c r="A245" s="3" t="str">
        <x:v>SEKTÖREL TANITIM GRUBU REKLAMCILIK VE TİC. LTD. ŞTİ.</x:v>
      </x:c>
      <x:c r="B245" s="3" t="str">
        <x:v>https://www.subconturkey.com.tr</x:v>
      </x:c>
      <x:c r="C245" s="3" t="str">
        <x:v>subcon@subconturkey.com.tr</x:v>
      </x:c>
      <x:c r="D245" s="3" t="str">
        <x:v>‎0212 607 28 22</x:v>
      </x:c>
      <x:c r="E245" s="3" t="str">
        <x:v>TAM</x:v>
      </x:c>
      <x:c r="F245" s="3" t="str">
        <x:v>SİSTEM</x:v>
      </x:c>
      <x:c r="G245" s="3" t="str">
        <x:v>high</x:v>
      </x:c>
      <x:c r="H245" s="3" t="str">
        <x:v>95</x:v>
      </x:c>
      <x:c r="I245" s="3" t="str">
        <x:v>ESLESTI</x:v>
      </x:c>
      <x:c r="J245" s="3" t="str">
        <x:v>‎+90 212 607 28 22</x:v>
      </x:c>
      <x:c r="K245" s="8"/>
      <x:c r="L245" s="8" t="str">
        <x:v>https://www.subconturkey.com.tr</x:v>
      </x:c>
      <x:c r="M245" s="8" t="str">
        <x:v>https://www.subconturkey.com.tr</x:v>
      </x:c>
      <x:c r="N245" s="8" t="str">
        <x:v>https://www.maktekfuari.com/brand/sektorel-tanitim-grubu-reklamcilik-ve-tic-ltd-sti</x:v>
      </x:c>
      <x:c r="O245" s="3" t="str">
        <x:v>SalonNo</x:v>
      </x:c>
      <x:c r="P245" s="3" t="str">
        <x:v>StandNo</x:v>
      </x:c>
      <x:c r="Q245" s="8" t="str">
        <x:v>SUBCONTURKEY YANSANAYİ GAZETESİ</x:v>
      </x:c>
      <x:c r="R245" s="8"/>
    </x:row>
    <x:row r="246">
      <x:c r="A246" s="3" t="str">
        <x:v>SELEN MAKİNE VE TEKN. HİZ.SAN.TİC.LTD.ŞTİ.</x:v>
      </x:c>
      <x:c r="B246" s="3" t="str">
        <x:v>https://www.selenmakine.com</x:v>
      </x:c>
      <x:c r="C246" s="3" t="str">
        <x:v>info@selenmakine.com</x:v>
      </x:c>
      <x:c r="D246" s="3" t="str">
        <x:v>‎0262 641 32 08</x:v>
      </x:c>
      <x:c r="E246" s="3" t="str">
        <x:v>TAM</x:v>
      </x:c>
      <x:c r="F246" s="3" t="str">
        <x:v>SİSTEM</x:v>
      </x:c>
      <x:c r="G246" s="3" t="str">
        <x:v>high</x:v>
      </x:c>
      <x:c r="H246" s="3" t="str">
        <x:v>90</x:v>
      </x:c>
      <x:c r="I246" s="3" t="str">
        <x:v>FARKLI_RESMI_SITE_ONCELIKLI</x:v>
      </x:c>
      <x:c r="J246" s="3" t="str">
        <x:v>‎+90 549 490 41 00</x:v>
      </x:c>
      <x:c r="K246" s="8"/>
      <x:c r="L246" s="8" t="str">
        <x:v>https://www.selenmakine.com</x:v>
      </x:c>
      <x:c r="M246" s="8" t="str">
        <x:v>https://www.selenmakine.com</x:v>
      </x:c>
      <x:c r="N246" s="8" t="str">
        <x:v>https://www.maktekfuari.com/brand/selen-makine-ve-tekn-hizsanticltdsti</x:v>
      </x:c>
      <x:c r="O246" s="3" t="str">
        <x:v>6</x:v>
      </x:c>
      <x:c r="P246" s="3" t="str">
        <x:v>621</x:v>
      </x:c>
      <x:c r="Q246" s="8" t="str">
        <x:v>BLUM NOVOTEST</x:v>
      </x:c>
      <x:c r="R246" s="8" t="str">
        <x:v>BLUM NOVOTEST GMBH</x:v>
      </x:c>
    </x:row>
    <x:row r="247">
      <x:c r="A247" s="3" t="str">
        <x:v>SENKRONİZE MÜHENDİSLİK MAKİNE SAN. VE TİC.A.Ş.</x:v>
      </x:c>
      <x:c r="B247" s="3" t="str">
        <x:v>https://spindleservis.com</x:v>
      </x:c>
      <x:c r="C247" s="3" t="str">
        <x:v>info@spindleservis.com</x:v>
      </x:c>
      <x:c r="D247" s="3" t="str">
        <x:v>‎0224 483 60 90</x:v>
      </x:c>
      <x:c r="E247" s="3" t="str">
        <x:v>TAM</x:v>
      </x:c>
      <x:c r="F247" s="3" t="str">
        <x:v>SİSTEM</x:v>
      </x:c>
      <x:c r="G247" s="3" t="str">
        <x:v>medium</x:v>
      </x:c>
      <x:c r="H247" s="3" t="str">
        <x:v>85</x:v>
      </x:c>
      <x:c r="I247" s="3" t="str">
        <x:v>FARKLI_RESMI_SITE_ONCELIKLI</x:v>
      </x:c>
      <x:c r="J247" s="3" t="str">
        <x:v>‎+90 531 524 19 29</x:v>
      </x:c>
      <x:c r="K247" s="8"/>
      <x:c r="L247" s="8" t="str">
        <x:v>https://spindleservis.com/iletisim/</x:v>
      </x:c>
      <x:c r="M247" s="8" t="str">
        <x:v>https://spindleservis.com</x:v>
      </x:c>
      <x:c r="N247" s="8" t="str">
        <x:v>https://www.maktekfuari.com/brand/senkronize-muhendislik-makine-san-ve-ticas</x:v>
      </x:c>
      <x:c r="O247" s="3" t="str">
        <x:v>6</x:v>
      </x:c>
      <x:c r="P247" s="3" t="str">
        <x:v>612A</x:v>
      </x:c>
      <x:c r="Q247" s="8"/>
      <x:c r="R247" s="8"/>
    </x:row>
    <x:row r="248">
      <x:c r="A248" s="11" t="str">
        <x:v>SES 3000 CNC TAKIM TEZG. BİLG. SİSTEMLERİ LTD. ŞTİ.</x:v>
      </x:c>
      <x:c r="B248" s="11" t="str">
        <x:v>https://www.ses3000.com/</x:v>
      </x:c>
      <x:c r="C248" s="11" t="str">
        <x:v>bilgi@ses3000.com</x:v>
      </x:c>
      <x:c r="D248" s="11" t="str">
        <x:v>‎+90 212 674 25 08</x:v>
      </x:c>
      <x:c r="E248" s="11" t="str">
        <x:v>TAM</x:v>
      </x:c>
      <x:c r="F248" s="11" t="str">
        <x:v>MANUEL WEB DOĞRULAMA</x:v>
      </x:c>
      <x:c r="G248" s="11" t="str">
        <x:v>manual</x:v>
      </x:c>
      <x:c r="H248" s="11"/>
      <x:c r="I248" s="11" t="str">
        <x:v>MANUEL_ESLESTI</x:v>
      </x:c>
      <x:c r="J248" s="11" t="str">
        <x:v>‎+90 212 674 25 08</x:v>
      </x:c>
      <x:c r="K248" s="12" t="str">
        <x:v>Resmî site üzerindeki ayırt edici marka/ticari unvan, Türkiye adresi veya fuar telefon eşleşmesiyle kimlik doğrulandı. İletişim yalnız doğrulanan resmî siteden alındı. Kimlik kanıtı: https://ses3000.com/iletisim/</x:v>
      </x:c>
      <x:c r="L248" s="12" t="str">
        <x:v>https://ses3000.com/</x:v>
      </x:c>
      <x:c r="M248" s="12" t="str">
        <x:v>https://ses3000.com/iletisim/</x:v>
      </x:c>
      <x:c r="N248" s="12" t="str">
        <x:v>https://www.maktekfuari.com/brand/ses-3000-cnc-takim-tezg-bilg-sistemleri-ltd-sti</x:v>
      </x:c>
      <x:c r="O248" s="11" t="str">
        <x:v>8</x:v>
      </x:c>
      <x:c r="P248" s="11" t="str">
        <x:v>803</x:v>
      </x:c>
      <x:c r="Q248" s="12"/>
      <x:c r="R248" s="12" t="str">
        <x:v>YCM - YEONG CHIN MACHINERY INDUSTRIES CO., LTD; Mastercam - CNC Software, LLC; COORD3 Societa con Responsabilita\\ Limitata; DEX / TE-SHIN Precision Technology CO., LTD; TRIMILL A.S</x:v>
      </x:c>
    </x:row>
    <x:row r="249">
      <x:c r="A249" s="3" t="str">
        <x:v>SEZGİNLER MAKİNA SAN. VE TİC. A. Ş.</x:v>
      </x:c>
      <x:c r="B249" s="3" t="str">
        <x:v>https://sezginlermakina.com.tr</x:v>
      </x:c>
      <x:c r="C249" s="3" t="str">
        <x:v>info@sezginler.com</x:v>
      </x:c>
      <x:c r="D249" s="3" t="str">
        <x:v>‎0224 443 44 20</x:v>
      </x:c>
      <x:c r="E249" s="3" t="str">
        <x:v>TAM</x:v>
      </x:c>
      <x:c r="F249" s="3" t="str">
        <x:v>SİSTEM</x:v>
      </x:c>
      <x:c r="G249" s="3" t="str">
        <x:v>high</x:v>
      </x:c>
      <x:c r="H249" s="3" t="str">
        <x:v>100</x:v>
      </x:c>
      <x:c r="I249" s="3" t="str">
        <x:v>ESLESTI</x:v>
      </x:c>
      <x:c r="J249" s="3" t="str">
        <x:v>‎+90 224 443 44 22</x:v>
      </x:c>
      <x:c r="K249" s="8"/>
      <x:c r="L249" s="8" t="str">
        <x:v>https://sezginlermakina.com.tr/en/iletisim</x:v>
      </x:c>
      <x:c r="M249" s="8" t="str">
        <x:v>https://sezginlermakina.com.tr/en/iletisim</x:v>
      </x:c>
      <x:c r="N249" s="8" t="str">
        <x:v>https://www.maktekfuari.com/brand/sezginler-makina-san-ve-tic-a-s</x:v>
      </x:c>
      <x:c r="O249" s="3" t="str">
        <x:v>5</x:v>
      </x:c>
      <x:c r="P249" s="3" t="str">
        <x:v>509A</x:v>
      </x:c>
      <x:c r="Q249" s="8" t="str">
        <x:v>FOREMAN; PAFTAR</x:v>
      </x:c>
      <x:c r="R249" s="8"/>
    </x:row>
    <x:row r="250">
      <x:c r="A250" s="3" t="str">
        <x:v>SİMTED MAKİNA SAN.VE MAM.TİC.LTD.ŞTİ.</x:v>
      </x:c>
      <x:c r="B250" s="3" t="str">
        <x:v>https://www.simted.com</x:v>
      </x:c>
      <x:c r="C250" s="3" t="str">
        <x:v>simted@simted.com</x:v>
      </x:c>
      <x:c r="D250" s="3" t="str">
        <x:v>‎0212 222 61 12</x:v>
      </x:c>
      <x:c r="E250" s="3" t="str">
        <x:v>TAM</x:v>
      </x:c>
      <x:c r="F250" s="3" t="str">
        <x:v>SİSTEM</x:v>
      </x:c>
      <x:c r="G250" s="3" t="str">
        <x:v>medium</x:v>
      </x:c>
      <x:c r="H250" s="3" t="str">
        <x:v>87</x:v>
      </x:c>
      <x:c r="I250" s="3" t="str">
        <x:v>ESLESTI</x:v>
      </x:c>
      <x:c r="J250" s="3" t="str">
        <x:v>‎+90 212 222 61 12</x:v>
      </x:c>
      <x:c r="K250" s="8"/>
      <x:c r="L250" s="8" t="str">
        <x:v>https://www.simted.com/iletisim/</x:v>
      </x:c>
      <x:c r="M250" s="8" t="str">
        <x:v>https://www.simted.com/iletisim/</x:v>
      </x:c>
      <x:c r="N250" s="8" t="str">
        <x:v>https://www.maktekfuari.com/brand/simted-makina-sanve-mamticltdsti</x:v>
      </x:c>
      <x:c r="O250" s="3" t="str">
        <x:v>3</x:v>
      </x:c>
      <x:c r="P250" s="3" t="str">
        <x:v>309</x:v>
      </x:c>
      <x:c r="Q250" s="8"/>
      <x:c r="R250" s="8" t="str">
        <x:v>SALVAGNINI GROUP; MATRIX SRL; TECNOSTAMP SRL</x:v>
      </x:c>
    </x:row>
    <x:row r="251">
      <x:c r="A251" s="11" t="str">
        <x:v>SİMTEK İTHALAT İHRACAT SAN. VE TİC. LTD. ŞTİ.</x:v>
      </x:c>
      <x:c r="B251" s="11" t="str">
        <x:v>https://www.simtek.com/turkiye</x:v>
      </x:c>
      <x:c r="C251" s="11" t="str">
        <x:v>sales.tr@simtek.com</x:v>
      </x:c>
      <x:c r="D251" s="11" t="str">
        <x:v>‎+90 266 376 11 61</x:v>
      </x:c>
      <x:c r="E251" s="11" t="str">
        <x:v>TAM</x:v>
      </x:c>
      <x:c r="F251" s="11" t="str">
        <x:v>MANUEL WEB DOĞRULAMA</x:v>
      </x:c>
      <x:c r="G251" s="11" t="str">
        <x:v>manual</x:v>
      </x:c>
      <x:c r="H251" s="11"/>
      <x:c r="I251" s="11" t="str">
        <x:v>FARKLI_RESMI_SITE_ONCELIKLI</x:v>
      </x:c>
      <x:c r="J251" s="11" t="str">
        <x:v>‎+90 538 853 09 26</x:v>
      </x:c>
      <x:c r="K251" s="12" t="str">
        <x:v>Resmî site üzerindeki ayırt edici marka/ticari unvan, Türkiye adresi veya fuar telefon eşleşmesiyle kimlik doğrulandı. İletişim yalnız doğrulanan resmî siteden alındı. Kimlik kanıtı: https://www.simtek.com/tr_TR/anasayfa</x:v>
      </x:c>
      <x:c r="L251" s="12" t="str">
        <x:v>https://www.simtek.com/tr_TR/anasayfa</x:v>
      </x:c>
      <x:c r="M251" s="12" t="str">
        <x:v>https://www.simtek.com/tr_TR/anasayfa</x:v>
      </x:c>
      <x:c r="N251" s="12" t="str">
        <x:v>https://www.maktekfuari.com/brand/simtek-ithalat-ihracat-san-ve-tic-ltd-sti</x:v>
      </x:c>
      <x:c r="O251" s="11" t="str">
        <x:v>11</x:v>
      </x:c>
      <x:c r="P251" s="11" t="str">
        <x:v>1159</x:v>
      </x:c>
      <x:c r="Q251" s="12"/>
      <x:c r="R251" s="12"/>
    </x:row>
    <x:row r="252">
      <x:c r="A252" s="3" t="str">
        <x:v>SİNTEK MÜHENDİSLİK MAK. SAN. VE TİC. LTD. ŞTİ.</x:v>
      </x:c>
      <x:c r="B252" s="3" t="str">
        <x:v>https://www.sintekmuhendislik.com</x:v>
      </x:c>
      <x:c r="C252" s="3" t="str">
        <x:v>info@sintekmuhendislik.com</x:v>
      </x:c>
      <x:c r="D252" s="3" t="str">
        <x:v>‎0212 299 61 84</x:v>
      </x:c>
      <x:c r="E252" s="3" t="str">
        <x:v>TAM</x:v>
      </x:c>
      <x:c r="F252" s="3" t="str">
        <x:v>SİSTEM</x:v>
      </x:c>
      <x:c r="G252" s="3" t="str">
        <x:v>medium</x:v>
      </x:c>
      <x:c r="H252" s="3" t="str">
        <x:v>85</x:v>
      </x:c>
      <x:c r="I252" s="3" t="str">
        <x:v>FUAR_REFERANSI_YOK</x:v>
      </x:c>
      <x:c r="J252" s="3"/>
      <x:c r="K252" s="8"/>
      <x:c r="L252" s="8" t="str">
        <x:v>https://www.sintekmuhendislik.com</x:v>
      </x:c>
      <x:c r="M252" s="8" t="str">
        <x:v>https://www.sintekmuhendislik.com</x:v>
      </x:c>
      <x:c r="N252" s="8" t="str">
        <x:v>https://www.maktekfuari.com/brand/sintek-muhendislik-mak-san-ve-tic-ltd-sti</x:v>
      </x:c>
      <x:c r="O252" s="3" t="str">
        <x:v>11</x:v>
      </x:c>
      <x:c r="P252" s="3" t="str">
        <x:v>1133</x:v>
      </x:c>
      <x:c r="Q252" s="8"/>
      <x:c r="R252" s="8"/>
    </x:row>
    <x:row r="253">
      <x:c r="A253" s="11" t="str">
        <x:v>SKA MAKİNA OTOM. İTH. İHR. SAN. VE TİC. LTD. ŞTİ.</x:v>
      </x:c>
      <x:c r="B253" s="11" t="str">
        <x:v>https://www.skamachine.com</x:v>
      </x:c>
      <x:c r="C253" s="11" t="str">
        <x:v>info@skamachine.com</x:v>
      </x:c>
      <x:c r="D253" s="11" t="str">
        <x:v>‎+90 537 953 21 14</x:v>
      </x:c>
      <x:c r="E253" s="11" t="str">
        <x:v>TAM</x:v>
      </x:c>
      <x:c r="F253" s="11" t="str">
        <x:v>MANUEL WEB DOĞRULAMA</x:v>
      </x:c>
      <x:c r="G253" s="11" t="str">
        <x:v>manual</x:v>
      </x:c>
      <x:c r="H253" s="11"/>
      <x:c r="I253" s="11" t="str">
        <x:v>MANUEL_ESLESTI</x:v>
      </x:c>
      <x:c r="J253" s="11" t="str">
        <x:v>‎+90 537 953 21 14</x:v>
      </x:c>
      <x:c r="K253" s="12" t="str">
        <x:v>Resmî site üzerindeki ayırt edici marka/ticari unvan, Türkiye adresi veya fuar telefon eşleşmesiyle kimlik doğrulandı. İletişim yalnız doğrulanan resmî siteden alındı. Kimlik kanıtı: https://skamachine.com/</x:v>
      </x:c>
      <x:c r="L253" s="12" t="str">
        <x:v>https://skamachine.com/</x:v>
      </x:c>
      <x:c r="M253" s="12" t="str">
        <x:v>https://skamachine.com/</x:v>
      </x:c>
      <x:c r="N253" s="12" t="str">
        <x:v>https://www.maktekfuari.com/brand/ska-makina-otom-ith-ihr-san-ve-tic-ltd-sti</x:v>
      </x:c>
      <x:c r="O253" s="11" t="str">
        <x:v>11</x:v>
      </x:c>
      <x:c r="P253" s="11" t="str">
        <x:v>1164B</x:v>
      </x:c>
      <x:c r="Q253" s="12"/>
      <x:c r="R253" s="12"/>
    </x:row>
    <x:row r="254">
      <x:c r="A254" s="3" t="str">
        <x:v>SMARTES TEKNOLOJİ YAZILIM DANIŞMANLIK SANAYİ VE TİCARET ANONİM ŞİRKETİ</x:v>
      </x:c>
      <x:c r="B254" s="3" t="str">
        <x:v>https://smartes.com.tr</x:v>
      </x:c>
      <x:c r="C254" s="3" t="str">
        <x:v>info@smartes.com.tr</x:v>
      </x:c>
      <x:c r="D254" s="3" t="str">
        <x:v>‎0216 706 52 62</x:v>
      </x:c>
      <x:c r="E254" s="3" t="str">
        <x:v>TAM</x:v>
      </x:c>
      <x:c r="F254" s="3" t="str">
        <x:v>SİSTEM</x:v>
      </x:c>
      <x:c r="G254" s="3" t="str">
        <x:v>high</x:v>
      </x:c>
      <x:c r="H254" s="3" t="str">
        <x:v>100</x:v>
      </x:c>
      <x:c r="I254" s="3" t="str">
        <x:v>ESLESTI</x:v>
      </x:c>
      <x:c r="J254" s="3" t="str">
        <x:v>‎+90 216 706 52 62</x:v>
      </x:c>
      <x:c r="K254" s="8"/>
      <x:c r="L254" s="8" t="str">
        <x:v>https://smartes.com.tr</x:v>
      </x:c>
      <x:c r="M254" s="8" t="str">
        <x:v>https://smartes.com.tr</x:v>
      </x:c>
      <x:c r="N254" s="8" t="str">
        <x:v>https://www.maktekfuari.com/brand/smartes-teknoloji-yazilim-danismanlik-sanayi-ve-ticaret-anonim-sirketi</x:v>
      </x:c>
      <x:c r="O254" s="3" t="str">
        <x:v>12</x:v>
      </x:c>
      <x:c r="P254" s="3" t="str">
        <x:v>1221</x:v>
      </x:c>
      <x:c r="Q254" s="8" t="str">
        <x:v>SmartFactory</x:v>
      </x:c>
      <x:c r="R254" s="8"/>
    </x:row>
    <x:row r="255">
      <x:c r="A255" s="3" t="str">
        <x:v>SMOXH CUTTING TOOLS Temsilci Firma</x:v>
      </x:c>
      <x:c r="B255" s="3" t="str">
        <x:v>https://www.smoxh.com.tr</x:v>
      </x:c>
      <x:c r="C255" s="3" t="str">
        <x:v>info@smoxh.com.tr</x:v>
      </x:c>
      <x:c r="D255" s="3" t="str">
        <x:v>‎0332 251 21 78</x:v>
      </x:c>
      <x:c r="E255" s="3" t="str">
        <x:v>TAM</x:v>
      </x:c>
      <x:c r="F255" s="3" t="str">
        <x:v>SİSTEM</x:v>
      </x:c>
      <x:c r="G255" s="3" t="str">
        <x:v>high</x:v>
      </x:c>
      <x:c r="H255" s="3" t="str">
        <x:v>90</x:v>
      </x:c>
      <x:c r="I255" s="3" t="str">
        <x:v>ESLESTI</x:v>
      </x:c>
      <x:c r="J255" s="3" t="str">
        <x:v>‎+90 332 251 21 78</x:v>
      </x:c>
      <x:c r="K255" s="8"/>
      <x:c r="L255" s="8" t="str">
        <x:v>https://www.smoxh.com.tr/tr/sayfa/hakkimizda</x:v>
      </x:c>
      <x:c r="M255" s="8" t="str">
        <x:v>https://www.smoxh.com.tr</x:v>
      </x:c>
      <x:c r="N255" s="8" t="str">
        <x:v>https://www.maktekfuari.com/brand/smoxh-cutting-tools</x:v>
      </x:c>
      <x:c r="O255" s="3" t="str">
        <x:v>11</x:v>
      </x:c>
      <x:c r="P255" s="3" t="str">
        <x:v>1161</x:v>
      </x:c>
      <x:c r="Q255" s="8"/>
      <x:c r="R255" s="8"/>
    </x:row>
    <x:row r="256">
      <x:c r="A256" s="11" t="str">
        <x:v>Socomec Temsilci Firma</x:v>
      </x:c>
      <x:c r="B256" s="11" t="str">
        <x:v>https://www.socomec.com.tr/tr</x:v>
      </x:c>
      <x:c r="C256" s="11"/>
      <x:c r="D256" s="11" t="str">
        <x:v>‎+90 216 540 71 21</x:v>
      </x:c>
      <x:c r="E256" s="11" t="str">
        <x:v>KISMI</x:v>
      </x:c>
      <x:c r="F256" s="11" t="str">
        <x:v>MANUEL WEB DOĞRULAMA</x:v>
      </x:c>
      <x:c r="G256" s="11" t="str">
        <x:v>manual</x:v>
      </x:c>
      <x:c r="H256" s="11"/>
      <x:c r="I256" s="11" t="str">
        <x:v>FARKLI_RESMI_SITE_ONCELIKLI</x:v>
      </x:c>
      <x:c r="J256" s="11" t="str">
        <x:v>‎+90 850 226 88 05</x:v>
      </x:c>
      <x:c r="K256" s="12" t="str">
        <x:v>Resmî site üzerindeki ayırt edici marka/ticari unvan, Türkiye adresi veya fuar telefon eşleşmesiyle kimlik doğrulandı. İletişim yalnız doğrulanan resmî siteden alındı. Kimlik kanıtı: https://www.socomec.com.tr/tr/uzman-ekiple-iletisim</x:v>
      </x:c>
      <x:c r="L256" s="12"/>
      <x:c r="M256" s="12" t="str">
        <x:v>https://www.socomec.com.tr/tr/uzman-ekiple-iletisim</x:v>
      </x:c>
      <x:c r="N256" s="12" t="str">
        <x:v>https://www.maktekfuari.com/brand/socomec</x:v>
      </x:c>
      <x:c r="O256" s="11" t="str">
        <x:v>11A</x:v>
      </x:c>
      <x:c r="P256" s="11" t="str">
        <x:v>41</x:v>
      </x:c>
      <x:c r="Q256" s="12"/>
      <x:c r="R256" s="12"/>
    </x:row>
    <x:row r="257">
      <x:c r="A257" s="11" t="str">
        <x:v>SPİNNER TAKIM TEZGAHLARI SAN VE TİC LTD ŞTİ</x:v>
      </x:c>
      <x:c r="B257" s="11" t="str">
        <x:v>https://www.spinner.eu.com/tr/</x:v>
      </x:c>
      <x:c r="C257" s="11" t="str">
        <x:v>info@spinner.com.tr</x:v>
      </x:c>
      <x:c r="D257" s="11" t="str">
        <x:v>‎+90 216 394 21 46</x:v>
      </x:c>
      <x:c r="E257" s="11" t="str">
        <x:v>TAM</x:v>
      </x:c>
      <x:c r="F257" s="11" t="str">
        <x:v>MANUEL WEB DOĞRULAMA</x:v>
      </x:c>
      <x:c r="G257" s="11" t="str">
        <x:v>manual</x:v>
      </x:c>
      <x:c r="H257" s="11"/>
      <x:c r="I257" s="11" t="str">
        <x:v>FARKLI_RESMI_SITE_ONCELIKLI</x:v>
      </x:c>
      <x:c r="J257" s="11" t="str">
        <x:v>‎+90 555 465 26 19</x:v>
      </x:c>
      <x:c r="K257" s="12" t="str">
        <x:v>Resmî site üzerindeki ayırt edici marka/ticari unvan, Türkiye adresi veya fuar telefon eşleşmesiyle kimlik doğrulandı. İletişim yalnız doğrulanan resmî siteden alındı. Kimlik kanıtı: https://www.spinner.eu.com/tr/spinner-hakk%C4%B1nda</x:v>
      </x:c>
      <x:c r="L257" s="12" t="str">
        <x:v>https://www.spinner.eu.com/tr/spinner-hakk%C4%B1nda</x:v>
      </x:c>
      <x:c r="M257" s="12" t="str">
        <x:v>https://www.spinner.eu.com/tr/spinner-hakk%C4%B1nda</x:v>
      </x:c>
      <x:c r="N257" s="12" t="str">
        <x:v>https://www.maktekfuari.com/brand/spinner-takim-tezgahlari-san-ve-tic-ltd-sti</x:v>
      </x:c>
      <x:c r="O257" s="11" t="str">
        <x:v>8</x:v>
      </x:c>
      <x:c r="P257" s="11" t="str">
        <x:v>811</x:v>
      </x:c>
      <x:c r="Q257" s="12" t="str">
        <x:v>SPINNER</x:v>
      </x:c>
      <x:c r="R257" s="12"/>
    </x:row>
    <x:row r="258">
      <x:c r="A258" s="3" t="str">
        <x:v>SPT CNC MAKİNA SAN. VE TİC. A.Ş.</x:v>
      </x:c>
      <x:c r="B258" s="3" t="str">
        <x:v>https://sptmak.com</x:v>
      </x:c>
      <x:c r="C258" s="3" t="str">
        <x:v>info@sptmak.com</x:v>
      </x:c>
      <x:c r="D258" s="3" t="str">
        <x:v>‎0216 314 24 74</x:v>
      </x:c>
      <x:c r="E258" s="3" t="str">
        <x:v>TAM</x:v>
      </x:c>
      <x:c r="F258" s="3" t="str">
        <x:v>SİSTEM</x:v>
      </x:c>
      <x:c r="G258" s="3" t="str">
        <x:v>high</x:v>
      </x:c>
      <x:c r="H258" s="3" t="str">
        <x:v>100</x:v>
      </x:c>
      <x:c r="I258" s="3" t="str">
        <x:v>ESLESTI</x:v>
      </x:c>
      <x:c r="J258" s="3" t="str">
        <x:v>‎+90 216 314 24 74</x:v>
      </x:c>
      <x:c r="K258" s="8"/>
      <x:c r="L258" s="8" t="str">
        <x:v>https://sptmak.com</x:v>
      </x:c>
      <x:c r="M258" s="8" t="str">
        <x:v>https://sptmak.com</x:v>
      </x:c>
      <x:c r="N258" s="8" t="str">
        <x:v>https://www.maktekfuari.com/brand/spt-cnc-makina-san-ve-tic-as</x:v>
      </x:c>
      <x:c r="O258" s="3" t="str">
        <x:v>12</x:v>
      </x:c>
      <x:c r="P258" s="3" t="str">
        <x:v>1227</x:v>
      </x:c>
      <x:c r="Q258" s="8"/>
      <x:c r="R258" s="8" t="str">
        <x:v>PRECISION TSUGAMI</x:v>
      </x:c>
    </x:row>
    <x:row r="259">
      <x:c r="A259" s="3" t="str">
        <x:v>STAR TURKEY CNC MAKİNA SAN. TİC. LTD. ŞTİ.</x:v>
      </x:c>
      <x:c r="B259" s="3" t="str">
        <x:v>https://starcncmakina.com.tr</x:v>
      </x:c>
      <x:c r="C259" s="3" t="str">
        <x:v>info@starcncmakina.com.tr</x:v>
      </x:c>
      <x:c r="D259" s="3" t="str">
        <x:v>‎0216 376 73 73</x:v>
      </x:c>
      <x:c r="E259" s="3" t="str">
        <x:v>TAM</x:v>
      </x:c>
      <x:c r="F259" s="3" t="str">
        <x:v>SİSTEM</x:v>
      </x:c>
      <x:c r="G259" s="3" t="str">
        <x:v>high</x:v>
      </x:c>
      <x:c r="H259" s="3" t="str">
        <x:v>100</x:v>
      </x:c>
      <x:c r="I259" s="3" t="str">
        <x:v>ESLESTI</x:v>
      </x:c>
      <x:c r="J259" s="3" t="str">
        <x:v>‎+90 216 376 73 73</x:v>
      </x:c>
      <x:c r="K259" s="8"/>
      <x:c r="L259" s="8" t="str">
        <x:v>https://starcncmakina.com.tr</x:v>
      </x:c>
      <x:c r="M259" s="8" t="str">
        <x:v>https://starcncmakina.com.tr</x:v>
      </x:c>
      <x:c r="N259" s="8" t="str">
        <x:v>https://www.maktekfuari.com/brand/star-turkey-cnc-makina-san-tic-ltd-sti</x:v>
      </x:c>
      <x:c r="O259" s="3" t="str">
        <x:v>9</x:v>
      </x:c>
      <x:c r="P259" s="3" t="str">
        <x:v>910</x:v>
      </x:c>
      <x:c r="Q259" s="8" t="str">
        <x:v>STAR</x:v>
      </x:c>
      <x:c r="R259" s="8"/>
    </x:row>
    <x:row r="260">
      <x:c r="A260" s="11" t="str">
        <x:v>SUDE YAYINCILIK - TİMUR OLGUN</x:v>
      </x:c>
      <x:c r="B260" s="11" t="str">
        <x:v>http://www.sudeyayincilik.com/</x:v>
      </x:c>
      <x:c r="C260" s="11" t="str">
        <x:v>ajans@sudeyayincilik.com</x:v>
      </x:c>
      <x:c r="D260" s="11" t="str">
        <x:v>‎+90 212 612 09 48</x:v>
      </x:c>
      <x:c r="E260" s="11" t="str">
        <x:v>TAM</x:v>
      </x:c>
      <x:c r="F260" s="11" t="str">
        <x:v>MANUEL WEB DOĞRULAMA</x:v>
      </x:c>
      <x:c r="G260" s="11" t="str">
        <x:v>manual</x:v>
      </x:c>
      <x:c r="H260" s="11"/>
      <x:c r="I260" s="11" t="str">
        <x:v>MANUEL_ESLESTI</x:v>
      </x:c>
      <x:c r="J260" s="11" t="str">
        <x:v>‎+90 212 612 09 48</x:v>
      </x:c>
      <x:c r="K260" s="12" t="str">
        <x:v>Resmî site üzerindeki ayırt edici marka/ticari unvan, Türkiye adresi veya fuar telefon eşleşmesiyle kimlik doğrulandı. İletişim yalnız doğrulanan resmî siteden alındı. Kimlik kanıtı: http://www.sudeyayincilik.com/iletisim/</x:v>
      </x:c>
      <x:c r="L260" s="12" t="str">
        <x:v>http://www.sudeyayincilik.com/</x:v>
      </x:c>
      <x:c r="M260" s="12" t="str">
        <x:v>http://www.sudeyayincilik.com/</x:v>
      </x:c>
      <x:c r="N260" s="12" t="str">
        <x:v>https://www.maktekfuari.com/brand/sude-yayincilik-timur-olgun</x:v>
      </x:c>
      <x:c r="O260" s="11" t="str">
        <x:v>SalonNo</x:v>
      </x:c>
      <x:c r="P260" s="11" t="str">
        <x:v>StandNo</x:v>
      </x:c>
      <x:c r="Q260" s="12"/>
      <x:c r="R260" s="12"/>
    </x:row>
    <x:row r="261">
      <x:c r="A261" s="3" t="str">
        <x:v>SUNTON MAKİNA DIŞ TİCARET ANONİM ŞİRKETİ</x:v>
      </x:c>
      <x:c r="B261" s="3" t="str">
        <x:v>https://suntonmakina.com</x:v>
      </x:c>
      <x:c r="C261" s="3" t="str">
        <x:v>info@suntonmakina.com</x:v>
      </x:c>
      <x:c r="D261" s="3" t="str">
        <x:v>‎0212 812 24 21</x:v>
      </x:c>
      <x:c r="E261" s="3" t="str">
        <x:v>TAM</x:v>
      </x:c>
      <x:c r="F261" s="3" t="str">
        <x:v>SİSTEM</x:v>
      </x:c>
      <x:c r="G261" s="3" t="str">
        <x:v>high</x:v>
      </x:c>
      <x:c r="H261" s="3" t="str">
        <x:v>100</x:v>
      </x:c>
      <x:c r="I261" s="3" t="str">
        <x:v>FUAR_REFERANSI_YOK</x:v>
      </x:c>
      <x:c r="J261" s="3"/>
      <x:c r="K261" s="8"/>
      <x:c r="L261" s="8" t="str">
        <x:v>https://suntonmakina.com/hakkimizda/</x:v>
      </x:c>
      <x:c r="M261" s="8" t="str">
        <x:v>https://suntonmakina.com</x:v>
      </x:c>
      <x:c r="N261" s="8" t="str">
        <x:v>https://www.maktekfuari.com/brand/sunton-makina-dis-ticaret-anonim-sirketi</x:v>
      </x:c>
      <x:c r="O261" s="3" t="str">
        <x:v>11A</x:v>
      </x:c>
      <x:c r="P261" s="3" t="str">
        <x:v>16</x:v>
      </x:c>
      <x:c r="Q261" s="8"/>
      <x:c r="R261" s="8"/>
    </x:row>
    <x:row r="262">
      <x:c r="A262" s="11" t="str">
        <x:v>SURTEK MAKİNA SANAYİ VE TİCARET LİMİTED ŞİRKETİ</x:v>
      </x:c>
      <x:c r="B262" s="11" t="str">
        <x:v>https://www.surtek.com.tr/</x:v>
      </x:c>
      <x:c r="C262" s="11" t="str">
        <x:v>info@surtek.com.tr</x:v>
      </x:c>
      <x:c r="D262" s="11" t="str">
        <x:v>‎+90 212 516 33 84</x:v>
      </x:c>
      <x:c r="E262" s="11" t="str">
        <x:v>TAM</x:v>
      </x:c>
      <x:c r="F262" s="11" t="str">
        <x:v>MANUEL WEB DOĞRULAMA</x:v>
      </x:c>
      <x:c r="G262" s="11" t="str">
        <x:v>manual</x:v>
      </x:c>
      <x:c r="H262" s="11"/>
      <x:c r="I262" s="11" t="str">
        <x:v>MANUEL_ESLESTI</x:v>
      </x:c>
      <x:c r="J262" s="11" t="str">
        <x:v>‎+90 212 516 33 84</x:v>
      </x:c>
      <x:c r="K262" s="12" t="str">
        <x:v>Resmî site üzerindeki ayırt edici marka/ticari unvan, Türkiye adresi veya fuar telefon eşleşmesiyle kimlik doğrulandı. İletişim yalnız doğrulanan resmî siteden alındı. Kimlik kanıtı: https://www.surtek.com.tr/tr-TR/iletisim/6</x:v>
      </x:c>
      <x:c r="L262" s="12" t="str">
        <x:v>https://www.surtek.com.tr/</x:v>
      </x:c>
      <x:c r="M262" s="12" t="str">
        <x:v>https://www.surtek.com.tr/</x:v>
      </x:c>
      <x:c r="N262" s="12" t="str">
        <x:v>https://www.maktekfuari.com/brand/surtek-makina-sanayi-ve-ticaret-limited-sirketi</x:v>
      </x:c>
      <x:c r="O262" s="11" t="str">
        <x:v>11</x:v>
      </x:c>
      <x:c r="P262" s="11" t="str">
        <x:v>1162</x:v>
      </x:c>
      <x:c r="Q262" s="12"/>
      <x:c r="R262" s="12"/>
    </x:row>
    <x:row r="263">
      <x:c r="A263" s="11" t="str">
        <x:v>SVR SEVER MAKİNE SANAYİ VE TİCARET ANONİM ŞİRKETİ</x:v>
      </x:c>
      <x:c r="B263" s="11" t="str">
        <x:v>https://severmakine.com</x:v>
      </x:c>
      <x:c r="C263" s="11" t="str">
        <x:v>info@severmakine.com</x:v>
      </x:c>
      <x:c r="D263" s="11" t="str">
        <x:v>‎0532 162 45 15</x:v>
      </x:c>
      <x:c r="E263" s="11" t="str">
        <x:v>TAM</x:v>
      </x:c>
      <x:c r="F263" s="11" t="str">
        <x:v>MANUEL WEB DOĞRULAMA</x:v>
      </x:c>
      <x:c r="G263" s="11" t="str">
        <x:v>manual</x:v>
      </x:c>
      <x:c r="H263" s="11"/>
      <x:c r="I263" s="11" t="str">
        <x:v>FUAR_REFERANSI_YOK</x:v>
      </x:c>
      <x:c r="J263" s="11"/>
      <x:c r="K263" s="12" t="str">
        <x:v>Resmî site üzerindeki ayırt edici marka/ticari unvan, Türkiye adresi veya fuar telefon eşleşmesiyle kimlik doğrulandı. İletişim yalnız doğrulanan resmî siteden alındı. Kimlik kanıtı: https://severmakine.com/</x:v>
      </x:c>
      <x:c r="L263" s="12" t="str">
        <x:v>https://severmakine.com/</x:v>
      </x:c>
      <x:c r="M263" s="12" t="str">
        <x:v>https://severmakine.com/</x:v>
      </x:c>
      <x:c r="N263" s="12" t="str">
        <x:v>https://www.maktekfuari.com/brand/svr-sever-makine-sanayi-ve-ticaret-anonim-sirketi</x:v>
      </x:c>
      <x:c r="O263" s="11" t="str">
        <x:v>11A</x:v>
      </x:c>
      <x:c r="P263" s="11" t="str">
        <x:v>51</x:v>
      </x:c>
      <x:c r="Q263" s="12"/>
      <x:c r="R263" s="12"/>
    </x:row>
    <x:row r="264">
      <x:c r="A264" s="3" t="str">
        <x:v>ŞAHİNLER METAL MAKİNA ENDÜSTRİ A. Ş.</x:v>
      </x:c>
      <x:c r="B264" s="3" t="str">
        <x:v>https://www.sahinlermetal.com</x:v>
      </x:c>
      <x:c r="C264" s="3" t="str">
        <x:v>info@sahinlermetal.com</x:v>
      </x:c>
      <x:c r="D264" s="3" t="str">
        <x:v>‎0224 470 01 58</x:v>
      </x:c>
      <x:c r="E264" s="3" t="str">
        <x:v>TAM</x:v>
      </x:c>
      <x:c r="F264" s="3" t="str">
        <x:v>SİSTEM</x:v>
      </x:c>
      <x:c r="G264" s="3" t="str">
        <x:v>high</x:v>
      </x:c>
      <x:c r="H264" s="3" t="str">
        <x:v>100</x:v>
      </x:c>
      <x:c r="I264" s="3" t="str">
        <x:v>ESLESTI</x:v>
      </x:c>
      <x:c r="J264" s="3" t="str">
        <x:v>‎+90 224 470 01 58</x:v>
      </x:c>
      <x:c r="K264" s="8"/>
      <x:c r="L264" s="8" t="str">
        <x:v>https://www.sahinlermetal.com</x:v>
      </x:c>
      <x:c r="M264" s="8" t="str">
        <x:v>https://www.sahinlermetal.com</x:v>
      </x:c>
      <x:c r="N264" s="8" t="str">
        <x:v>https://www.maktekfuari.com/brand/sahinler-metal-makina-endustri-a-s</x:v>
      </x:c>
      <x:c r="O264" s="3" t="str">
        <x:v>3</x:v>
      </x:c>
      <x:c r="P264" s="3" t="str">
        <x:v>303</x:v>
      </x:c>
      <x:c r="Q264" s="8" t="str">
        <x:v>ŞAHİNLER METAL MAKİNA ENDÜSTRİ A.Ş.</x:v>
      </x:c>
      <x:c r="R264" s="8"/>
    </x:row>
    <x:row r="265">
      <x:c r="A265" s="3" t="str">
        <x:v>ŞENEL ENDÜSTRİ MAKİNA VE METAL SAN. TİC. A.Ş.</x:v>
      </x:c>
      <x:c r="B265" s="3" t="str">
        <x:v>https://senelmakina.com</x:v>
      </x:c>
      <x:c r="C265" s="3" t="str">
        <x:v>info@senelmakina.com</x:v>
      </x:c>
      <x:c r="D265" s="3" t="str">
        <x:v>‎0216 634 08 98</x:v>
      </x:c>
      <x:c r="E265" s="3" t="str">
        <x:v>TAM</x:v>
      </x:c>
      <x:c r="F265" s="3" t="str">
        <x:v>SİSTEM</x:v>
      </x:c>
      <x:c r="G265" s="3" t="str">
        <x:v>medium</x:v>
      </x:c>
      <x:c r="H265" s="3" t="str">
        <x:v>85</x:v>
      </x:c>
      <x:c r="I265" s="3" t="str">
        <x:v>FARKLI_RESMI_SITE_ONCELIKLI</x:v>
      </x:c>
      <x:c r="J265" s="3" t="str">
        <x:v>‎+90 532 724 20 22</x:v>
      </x:c>
      <x:c r="K265" s="8"/>
      <x:c r="L265" s="8" t="str">
        <x:v>https://senelmakina.com</x:v>
      </x:c>
      <x:c r="M265" s="8" t="str">
        <x:v>https://senelmakina.com</x:v>
      </x:c>
      <x:c r="N265" s="8" t="str">
        <x:v>https://www.maktekfuari.com/brand/senel-endustri-makina-ve-metal-san-tic-as</x:v>
      </x:c>
      <x:c r="O265" s="3" t="str">
        <x:v>10</x:v>
      </x:c>
      <x:c r="P265" s="3" t="str">
        <x:v>1002</x:v>
      </x:c>
      <x:c r="Q265" s="8" t="str">
        <x:v>ŞENEL</x:v>
      </x:c>
      <x:c r="R265" s="8"/>
    </x:row>
    <x:row r="266">
      <x:c r="A266" s="11" t="str">
        <x:v>T.Ş.T. LİFT AMORTİSÖR OTOM. YED. PAR. SAN. TİC. LTD. ŞTİ.</x:v>
      </x:c>
      <x:c r="B266" s="11" t="str">
        <x:v>https://tstlift.com/</x:v>
      </x:c>
      <x:c r="C266" s="11"/>
      <x:c r="D266" s="11" t="str">
        <x:v>‎+90 224 215 21 12</x:v>
      </x:c>
      <x:c r="E266" s="11" t="str">
        <x:v>KISMI</x:v>
      </x:c>
      <x:c r="F266" s="11" t="str">
        <x:v>MANUEL WEB DOĞRULAMA</x:v>
      </x:c>
      <x:c r="G266" s="11" t="str">
        <x:v>manual</x:v>
      </x:c>
      <x:c r="H266" s="11"/>
      <x:c r="I266" s="11" t="str">
        <x:v>MANUEL_ESLESTI</x:v>
      </x:c>
      <x:c r="J266" s="11" t="str">
        <x:v>‎+90 224 215 21 12</x:v>
      </x:c>
      <x:c r="K266" s="12" t="str">
        <x:v>Resmî site üzerindeki ayırt edici marka/ticari unvan, Türkiye adresi veya fuar telefon eşleşmesiyle kimlik doğrulandı. İletişim yalnız doğrulanan resmî siteden alındı. Kimlik kanıtı: https://tstlift.com/</x:v>
      </x:c>
      <x:c r="L266" s="12"/>
      <x:c r="M266" s="12" t="str">
        <x:v>https://tstlift.com/</x:v>
      </x:c>
      <x:c r="N266" s="12" t="str">
        <x:v>https://www.maktekfuari.com/brand/tst-lift-amortisor-otom-yed-par-san-tic-ltd-sti</x:v>
      </x:c>
      <x:c r="O266" s="11" t="str">
        <x:v>6</x:v>
      </x:c>
      <x:c r="P266" s="11" t="str">
        <x:v>609B</x:v>
      </x:c>
      <x:c r="Q266" s="12"/>
      <x:c r="R266" s="12"/>
    </x:row>
    <x:row r="267">
      <x:c r="A267" s="3" t="str">
        <x:v>TALHA TEKNİK HIRDAVAT SANAYİ VE TİC. LTD. ŞTİ.</x:v>
      </x:c>
      <x:c r="B267" s="3" t="str">
        <x:v>https://www.talhateknik.com.tr</x:v>
      </x:c>
      <x:c r="C267" s="3" t="str">
        <x:v>info@talhateknik.com.tr</x:v>
      </x:c>
      <x:c r="D267" s="3" t="str">
        <x:v>‎0212 485 88 32</x:v>
      </x:c>
      <x:c r="E267" s="3" t="str">
        <x:v>TAM</x:v>
      </x:c>
      <x:c r="F267" s="3" t="str">
        <x:v>SİSTEM</x:v>
      </x:c>
      <x:c r="G267" s="3" t="str">
        <x:v>high</x:v>
      </x:c>
      <x:c r="H267" s="3" t="str">
        <x:v>100</x:v>
      </x:c>
      <x:c r="I267" s="3" t="str">
        <x:v>FARKLI_RESMI_SITE_ONCELIKLI</x:v>
      </x:c>
      <x:c r="J267" s="3" t="str">
        <x:v>‎+90 533 655 88 32</x:v>
      </x:c>
      <x:c r="K267" s="8"/>
      <x:c r="L267" s="8" t="str">
        <x:v>https://www.talhateknik.com.tr</x:v>
      </x:c>
      <x:c r="M267" s="8" t="str">
        <x:v>https://www.talhateknik.com.tr</x:v>
      </x:c>
      <x:c r="N267" s="8" t="str">
        <x:v>https://www.maktekfuari.com/brand/talha-teknik-hirdavat-sanayi-ve-tic-ltd-sti</x:v>
      </x:c>
      <x:c r="O267" s="3" t="str">
        <x:v>11</x:v>
      </x:c>
      <x:c r="P267" s="3" t="str">
        <x:v>1113</x:v>
      </x:c>
      <x:c r="Q267" s="8" t="str">
        <x:v>ERİC; HÜGEL</x:v>
      </x:c>
      <x:c r="R267" s="8"/>
    </x:row>
    <x:row r="268">
      <x:c r="A268" s="3" t="str">
        <x:v>TANDEM TAKIM TEZGAHLARI SAN VE TİC LTD ŞTİ</x:v>
      </x:c>
      <x:c r="B268" s="3" t="str">
        <x:v>https://tandem.com.tr</x:v>
      </x:c>
      <x:c r="C268" s="3" t="str">
        <x:v>info@tandem.com.tr</x:v>
      </x:c>
      <x:c r="D268" s="3" t="str">
        <x:v>‎0216 313 14 13</x:v>
      </x:c>
      <x:c r="E268" s="3" t="str">
        <x:v>TAM</x:v>
      </x:c>
      <x:c r="F268" s="3" t="str">
        <x:v>SİSTEM</x:v>
      </x:c>
      <x:c r="G268" s="3" t="str">
        <x:v>high</x:v>
      </x:c>
      <x:c r="H268" s="3" t="str">
        <x:v>100</x:v>
      </x:c>
      <x:c r="I268" s="3" t="str">
        <x:v>ESLESTI</x:v>
      </x:c>
      <x:c r="J268" s="3" t="str">
        <x:v>‎+90 216 313 14 13</x:v>
      </x:c>
      <x:c r="K268" s="8"/>
      <x:c r="L268" s="8" t="str">
        <x:v>https://tandem.com.tr</x:v>
      </x:c>
      <x:c r="M268" s="8" t="str">
        <x:v>https://tandem.com.tr</x:v>
      </x:c>
      <x:c r="N268" s="8" t="str">
        <x:v>https://www.maktekfuari.com/brand/tandem-takim-tezgahlari-san-ve-tic-ltd-sti</x:v>
      </x:c>
      <x:c r="O268" s="3" t="str">
        <x:v>10, 10</x:v>
      </x:c>
      <x:c r="P268" s="3" t="str">
        <x:v>1005, 1015</x:v>
      </x:c>
      <x:c r="Q268" s="8"/>
      <x:c r="R268" s="8" t="str">
        <x:v>INDEX; NOMURA DS; KITAGAWA EUROPE; NAKANISHI; ROSA; MILLUTENSIL; SHIMADA; ONE CLICK METAL</x:v>
      </x:c>
    </x:row>
    <x:row r="269">
      <x:c r="A269" s="11" t="str">
        <x:v>TECUS CNC MAKİNA SANAYİ TİCARET AŞ</x:v>
      </x:c>
      <x:c r="B269" s="11" t="str">
        <x:v>https://tecus.com.tr/haas_parca_servis/</x:v>
      </x:c>
      <x:c r="C269" s="11" t="str">
        <x:v>info@tecus.com.tr</x:v>
      </x:c>
      <x:c r="D269" s="11" t="str">
        <x:v>‎+90 538 351 31 63</x:v>
      </x:c>
      <x:c r="E269" s="11" t="str">
        <x:v>TAM</x:v>
      </x:c>
      <x:c r="F269" s="11" t="str">
        <x:v>MANUEL WEB DOĞRULAMA</x:v>
      </x:c>
      <x:c r="G269" s="11" t="str">
        <x:v>manual</x:v>
      </x:c>
      <x:c r="H269" s="11"/>
      <x:c r="I269" s="11" t="str">
        <x:v>MANUEL_ESLESTI</x:v>
      </x:c>
      <x:c r="J269" s="11" t="str">
        <x:v>‎+90 538 351 31 63</x:v>
      </x:c>
      <x:c r="K269" s="12" t="str">
        <x:v>Resmî site üzerindeki ayırt edici marka/ticari unvan, Türkiye adresi veya fuar telefon eşleşmesiyle kimlik doğrulandı. İletişim yalnız doğrulanan resmî siteden alındı. Kimlik kanıtı: https://tecus.com.tr/hakkimizda-2/</x:v>
      </x:c>
      <x:c r="L269" s="12" t="str">
        <x:v>https://tecus.com.tr/haas_parca_servis/</x:v>
      </x:c>
      <x:c r="M269" s="12" t="str">
        <x:v>https://tecus.com.tr/haas_parca_servis/</x:v>
      </x:c>
      <x:c r="N269" s="12" t="str">
        <x:v>https://www.maktekfuari.com/brand/tecus-cnc-makina-sanayi-ticaret-as</x:v>
      </x:c>
      <x:c r="O269" s="11" t="str">
        <x:v>7</x:v>
      </x:c>
      <x:c r="P269" s="11" t="str">
        <x:v>717</x:v>
      </x:c>
      <x:c r="Q269" s="12"/>
      <x:c r="R269" s="12" t="str">
        <x:v>Haas</x:v>
      </x:c>
    </x:row>
    <x:row r="270">
      <x:c r="A270" s="3" t="str">
        <x:v>TEKİŞ TEKNİK EROZYON KALIP SAN. VE TİC. A.Ş.</x:v>
      </x:c>
      <x:c r="B270" s="3" t="str">
        <x:v>https://www.tekiskalip.com.tr</x:v>
      </x:c>
      <x:c r="C270" s="3" t="str">
        <x:v>info@tekiskalip.com.tr</x:v>
      </x:c>
      <x:c r="D270" s="3" t="str">
        <x:v>‎0262 658 04 04</x:v>
      </x:c>
      <x:c r="E270" s="3" t="str">
        <x:v>TAM</x:v>
      </x:c>
      <x:c r="F270" s="3" t="str">
        <x:v>SİSTEM</x:v>
      </x:c>
      <x:c r="G270" s="3" t="str">
        <x:v>medium</x:v>
      </x:c>
      <x:c r="H270" s="3" t="str">
        <x:v>87</x:v>
      </x:c>
      <x:c r="I270" s="3" t="str">
        <x:v>FARKLI_RESMI_SITE_ONCELIKLI</x:v>
      </x:c>
      <x:c r="J270" s="3" t="str">
        <x:v>‎+90 532 457 84 07</x:v>
      </x:c>
      <x:c r="K270" s="8"/>
      <x:c r="L270" s="8" t="str">
        <x:v>https://www.tekiskalip.com.tr/tr/iletisim</x:v>
      </x:c>
      <x:c r="M270" s="8" t="str">
        <x:v>https://www.tekiskalip.com.tr</x:v>
      </x:c>
      <x:c r="N270" s="8" t="str">
        <x:v>https://www.maktekfuari.com/brand/tekis-teknik-erozyon-kalip-san-ve-tic-as</x:v>
      </x:c>
      <x:c r="O270" s="3" t="str">
        <x:v>7</x:v>
      </x:c>
      <x:c r="P270" s="3" t="str">
        <x:v>718</x:v>
      </x:c>
      <x:c r="Q270" s="8"/>
      <x:c r="R270" s="8"/>
    </x:row>
    <x:row r="271">
      <x:c r="A271" s="11" t="str">
        <x:v>TEKNİK ÖLÇÜM SİS. VE KES. TAK. SAN. VE TİC. LTD. ŞTİ.</x:v>
      </x:c>
      <x:c r="B271" s="11" t="str">
        <x:v>https://www.teknikolcum.com</x:v>
      </x:c>
      <x:c r="C271" s="11" t="str">
        <x:v>siparis@teknikolcum.com</x:v>
      </x:c>
      <x:c r="D271" s="11" t="str">
        <x:v>‎0212 210 86 41</x:v>
      </x:c>
      <x:c r="E271" s="11" t="str">
        <x:v>TAM</x:v>
      </x:c>
      <x:c r="F271" s="11" t="str">
        <x:v>SİSTEM + MANUEL ONAY</x:v>
      </x:c>
      <x:c r="G271" s="11" t="str">
        <x:v>manual</x:v>
      </x:c>
      <x:c r="H271" s="11"/>
      <x:c r="I271" s="11" t="str">
        <x:v>MANUEL_ESLESTI</x:v>
      </x:c>
      <x:c r="J271" s="11" t="str">
        <x:v>‎+90 212 210 86 41</x:v>
      </x:c>
      <x:c r="K271" s="12" t="str">
        <x:v>Kullanıcının kaydettiği resmî site, e-posta ve telefon aynen korundu; telefon fuar referansıyla eşleşiyor.</x:v>
      </x:c>
      <x:c r="L271" s="12" t="str">
        <x:v>https://www.teknikolcum.com/iletisim</x:v>
      </x:c>
      <x:c r="M271" s="12" t="str">
        <x:v>https://www.teknikolcum.com/iletisim</x:v>
      </x:c>
      <x:c r="N271" s="12" t="str">
        <x:v>https://www.maktekfuari.com/brand/teknik-olcum-sis-ve-kes-tak-san-ve-tic-ltd-sti</x:v>
      </x:c>
      <x:c r="O271" s="11" t="str">
        <x:v>11</x:v>
      </x:c>
      <x:c r="P271" s="11" t="str">
        <x:v>1114</x:v>
      </x:c>
      <x:c r="Q271" s="12" t="str">
        <x:v>ACCUD; IBR; SCHNEIDER; STARRETT; WYLER; PETER HIRT; KAFER; KROEPLIN; BOWERS; HELIOS-PREISSER</x:v>
      </x:c>
      <x:c r="R271" s="12"/>
    </x:row>
    <x:row r="272">
      <x:c r="A272" s="11" t="str">
        <x:v>TEKNO 2000 PAZARLAMA VE İNŞAAT TİC. LTD. ŞTİ.</x:v>
      </x:c>
      <x:c r="B272" s="11" t="str">
        <x:v>https://tekno2000.net/</x:v>
      </x:c>
      <x:c r="C272" s="11" t="str">
        <x:v>info@tekno2000.net</x:v>
      </x:c>
      <x:c r="D272" s="11" t="str">
        <x:v>‎+90 216 640 56 00</x:v>
      </x:c>
      <x:c r="E272" s="11" t="str">
        <x:v>TAM</x:v>
      </x:c>
      <x:c r="F272" s="11" t="str">
        <x:v>MANUEL WEB DOĞRULAMA</x:v>
      </x:c>
      <x:c r="G272" s="11" t="str">
        <x:v>manual</x:v>
      </x:c>
      <x:c r="H272" s="11"/>
      <x:c r="I272" s="11" t="str">
        <x:v>MANUEL_ESLESTI</x:v>
      </x:c>
      <x:c r="J272" s="11" t="str">
        <x:v>‎+90 216 640 56 00</x:v>
      </x:c>
      <x:c r="K272" s="12" t="str">
        <x:v>Resmî site üzerindeki ayırt edici marka/ticari unvan, Türkiye adresi veya fuar telefon eşleşmesiyle kimlik doğrulandı. İletişim yalnız doğrulanan resmî siteden alındı. Kimlik kanıtı: https://tekno2000.net/</x:v>
      </x:c>
      <x:c r="L272" s="12" t="str">
        <x:v>https://tekno2000.net/</x:v>
      </x:c>
      <x:c r="M272" s="12" t="str">
        <x:v>https://tekno2000.net/</x:v>
      </x:c>
      <x:c r="N272" s="12" t="str">
        <x:v>https://www.maktekfuari.com/brand/tekno-2000-pazarlama-ve-insaat-tic-ltd-sti</x:v>
      </x:c>
      <x:c r="O272" s="11" t="str">
        <x:v>3</x:v>
      </x:c>
      <x:c r="P272" s="11" t="str">
        <x:v>317A</x:v>
      </x:c>
      <x:c r="Q272" s="12" t="str">
        <x:v>WILSON TOOL; TOOLSPRESS; LVD; BEHRINGER; BEHRINGER EISELE; VERNET BEHRINGER; EHRT; LISSMAC</x:v>
      </x:c>
      <x:c r="R272" s="12" t="str">
        <x:v>WILSON TOOL; BEHRINGER; BEHRINGER EISELE; EHRT; VERNET BEHRINGER; LISSMAC; TOOLSPRESS; LVD</x:v>
      </x:c>
    </x:row>
    <x:row r="273">
      <x:c r="A273" s="3" t="str">
        <x:v>TEKNOMASYON MAKİNA MET. EL. TUR. SAN. VE TİC. LTD. ŞTİ.</x:v>
      </x:c>
      <x:c r="B273" s="3" t="str">
        <x:v>https://www.teknomasyon.com</x:v>
      </x:c>
      <x:c r="C273" s="3" t="str">
        <x:v>teknomasyon@teknomasyon.com</x:v>
      </x:c>
      <x:c r="D273" s="3" t="str">
        <x:v>‎0224 443 26 88</x:v>
      </x:c>
      <x:c r="E273" s="3" t="str">
        <x:v>TAM</x:v>
      </x:c>
      <x:c r="F273" s="3" t="str">
        <x:v>SİSTEM</x:v>
      </x:c>
      <x:c r="G273" s="3" t="str">
        <x:v>high</x:v>
      </x:c>
      <x:c r="H273" s="3" t="str">
        <x:v>100</x:v>
      </x:c>
      <x:c r="I273" s="3" t="str">
        <x:v>FUAR_REFERANSI_YOK</x:v>
      </x:c>
      <x:c r="J273" s="3"/>
      <x:c r="K273" s="8"/>
      <x:c r="L273" s="8" t="str">
        <x:v>https://www.teknomasyon.com</x:v>
      </x:c>
      <x:c r="M273" s="8" t="str">
        <x:v>https://www.teknomasyon.com</x:v>
      </x:c>
      <x:c r="N273" s="8" t="str">
        <x:v>https://www.maktekfuari.com/brand/teknomasyon-makina-met-el-tur-san-ve-tic-ltd-sti</x:v>
      </x:c>
      <x:c r="O273" s="3" t="str">
        <x:v>10</x:v>
      </x:c>
      <x:c r="P273" s="3" t="str">
        <x:v>1011</x:v>
      </x:c>
      <x:c r="Q273" s="8"/>
      <x:c r="R273" s="8"/>
    </x:row>
    <x:row r="274">
      <x:c r="A274" s="3" t="str">
        <x:v>TEKOMA HASSAS TUTUCU TAKIMLAR MAK. SAN. TİC. LTD. ŞTİ.</x:v>
      </x:c>
      <x:c r="B274" s="3" t="str">
        <x:v>https://www.tekoma.com.tr</x:v>
      </x:c>
      <x:c r="C274" s="3" t="str">
        <x:v>tekoma@tekoma.com.tr</x:v>
      </x:c>
      <x:c r="D274" s="3" t="str">
        <x:v>‎0332 248 30 45</x:v>
      </x:c>
      <x:c r="E274" s="3" t="str">
        <x:v>TAM</x:v>
      </x:c>
      <x:c r="F274" s="3" t="str">
        <x:v>SİSTEM</x:v>
      </x:c>
      <x:c r="G274" s="3" t="str">
        <x:v>medium</x:v>
      </x:c>
      <x:c r="H274" s="3" t="str">
        <x:v>87</x:v>
      </x:c>
      <x:c r="I274" s="3" t="str">
        <x:v>ESLESTI</x:v>
      </x:c>
      <x:c r="J274" s="3" t="str">
        <x:v>‎+90 542 443 68 42</x:v>
      </x:c>
      <x:c r="K274" s="8"/>
      <x:c r="L274" s="8" t="str">
        <x:v>https://www.tekoma.com.tr</x:v>
      </x:c>
      <x:c r="M274" s="8" t="str">
        <x:v>https://www.tekoma.com.tr</x:v>
      </x:c>
      <x:c r="N274" s="8" t="str">
        <x:v>https://www.maktekfuari.com/brand/tekoma-hassas-tutucu-takimlar-mak-san-tic-ltd-sti</x:v>
      </x:c>
      <x:c r="O274" s="3" t="str">
        <x:v>11</x:v>
      </x:c>
      <x:c r="P274" s="3" t="str">
        <x:v>1179</x:v>
      </x:c>
      <x:c r="Q274" s="8"/>
      <x:c r="R274" s="8"/>
    </x:row>
    <x:row r="275">
      <x:c r="A275" s="11" t="str">
        <x:v>TEKYAZ TEKNOLOJİK YAZILIMLAR VE MAK.TİCARET AŞ.</x:v>
      </x:c>
      <x:c r="B275" s="11" t="str">
        <x:v>https://www.tekyaz.com/</x:v>
      </x:c>
      <x:c r="C275" s="11"/>
      <x:c r="D275" s="11" t="str">
        <x:v>‎+90 212 217 40 84</x:v>
      </x:c>
      <x:c r="E275" s="11" t="str">
        <x:v>KISMI</x:v>
      </x:c>
      <x:c r="F275" s="11" t="str">
        <x:v>MANUEL WEB DOĞRULAMA</x:v>
      </x:c>
      <x:c r="G275" s="11" t="str">
        <x:v>manual</x:v>
      </x:c>
      <x:c r="H275" s="11"/>
      <x:c r="I275" s="11" t="str">
        <x:v>FUAR_REFERANSI_YOK</x:v>
      </x:c>
      <x:c r="J275" s="11"/>
      <x:c r="K275" s="12" t="str">
        <x:v>Resmî site üzerindeki ayırt edici marka/ticari unvan, Türkiye adresi veya fuar telefon eşleşmesiyle kimlik doğrulandı. İletişim yalnız doğrulanan resmî siteden alındı. Kimlik kanıtı: https://www.tekyaz.com/hakkimizda/</x:v>
      </x:c>
      <x:c r="L275" s="12"/>
      <x:c r="M275" s="12" t="str">
        <x:v>https://www.tekyaz.com/hakkimizda/</x:v>
      </x:c>
      <x:c r="N275" s="12" t="str">
        <x:v>https://www.maktekfuari.com/brand/tekyaz-teknolojik-yazilimlar-ve-makticaret-as</x:v>
      </x:c>
      <x:c r="O275" s="11" t="str">
        <x:v>12</x:v>
      </x:c>
      <x:c r="P275" s="11" t="str">
        <x:v>1203</x:v>
      </x:c>
      <x:c r="Q275" s="12"/>
      <x:c r="R275" s="12"/>
    </x:row>
    <x:row r="276">
      <x:c r="A276" s="3" t="str">
        <x:v>TEMAK TEKNİK TAKIM TEZGAHLARI SANAYİ VE TİCARET ANONİM ŞİRKETİ</x:v>
      </x:c>
      <x:c r="B276" s="3" t="str">
        <x:v>https://temak.com.tr</x:v>
      </x:c>
      <x:c r="C276" s="3" t="str">
        <x:v>info@temak.com.tr</x:v>
      </x:c>
      <x:c r="D276" s="3" t="str">
        <x:v>‎0216 366 87 00</x:v>
      </x:c>
      <x:c r="E276" s="3" t="str">
        <x:v>TAM</x:v>
      </x:c>
      <x:c r="F276" s="3" t="str">
        <x:v>SİSTEM</x:v>
      </x:c>
      <x:c r="G276" s="3" t="str">
        <x:v>high</x:v>
      </x:c>
      <x:c r="H276" s="3" t="str">
        <x:v>100</x:v>
      </x:c>
      <x:c r="I276" s="3" t="str">
        <x:v>ESLESTI</x:v>
      </x:c>
      <x:c r="J276" s="3" t="str">
        <x:v>‎+90 216 366 87 00</x:v>
      </x:c>
      <x:c r="K276" s="8"/>
      <x:c r="L276" s="8" t="str">
        <x:v>https://temak.com.tr</x:v>
      </x:c>
      <x:c r="M276" s="8" t="str">
        <x:v>https://temak.com.tr</x:v>
      </x:c>
      <x:c r="N276" s="8" t="str">
        <x:v>https://www.maktekfuari.com/brand/temak-teknik-takim-tezgahlari-sanayi-ve-ticaret-anonim-sirketi</x:v>
      </x:c>
      <x:c r="O276" s="3" t="str">
        <x:v>11</x:v>
      </x:c>
      <x:c r="P276" s="3" t="str">
        <x:v>1148A</x:v>
      </x:c>
      <x:c r="Q276" s="8"/>
      <x:c r="R276" s="8" t="str">
        <x:v>GERARDİ SPA; NAREX Zdánice, spol. s r.o.; IZAR CUTTING TOOLS S.A.L.; ASIMETO; BISON S.A.; VERTEX MACHINERY WORKS CO. ,LTD.; CP GRAT-EX MFG. CO.; HARLİNGEN TOOLS; ZPS - FRÉZOVACÍ NÁSTROJE a.s.; Bucovice Tools a.s.; GEWINDEWERKZEUGE GABROVO GmbH</x:v>
      </x:c>
    </x:row>
    <x:row r="277">
      <x:c r="A277" s="3" t="str">
        <x:v>TEMELSAN MAKİNA SAN.VE TİC.LTD.ŞTİ.</x:v>
      </x:c>
      <x:c r="B277" s="3" t="str">
        <x:v>https://www.temelsanmakina.com</x:v>
      </x:c>
      <x:c r="C277" s="3" t="str">
        <x:v>info@temelsan.com</x:v>
      </x:c>
      <x:c r="D277" s="3" t="str">
        <x:v>‎0212 544 25 18</x:v>
      </x:c>
      <x:c r="E277" s="3" t="str">
        <x:v>TAM</x:v>
      </x:c>
      <x:c r="F277" s="3" t="str">
        <x:v>SİSTEM</x:v>
      </x:c>
      <x:c r="G277" s="3" t="str">
        <x:v>high</x:v>
      </x:c>
      <x:c r="H277" s="3" t="str">
        <x:v>100</x:v>
      </x:c>
      <x:c r="I277" s="3" t="str">
        <x:v>FUAR_REFERANSI_YOK</x:v>
      </x:c>
      <x:c r="J277" s="3"/>
      <x:c r="K277" s="8"/>
      <x:c r="L277" s="8" t="str">
        <x:v>https://www.temelsanmakina.com</x:v>
      </x:c>
      <x:c r="M277" s="8" t="str">
        <x:v>https://www.temelsanmakina.com</x:v>
      </x:c>
      <x:c r="N277" s="8" t="str">
        <x:v>https://www.maktekfuari.com/brand/temelsan-makina-sanve-ticltdsti</x:v>
      </x:c>
      <x:c r="O277" s="3" t="str">
        <x:v>2</x:v>
      </x:c>
      <x:c r="P277" s="3" t="str">
        <x:v>203</x:v>
      </x:c>
      <x:c r="Q277" s="8"/>
      <x:c r="R277" s="8"/>
    </x:row>
    <x:row r="278">
      <x:c r="A278" s="3" t="str">
        <x:v>TEMREN MAKİNA İMALAT MÜHENDİSLİK SANAYİ VE TİCARET LİMİTED ŞİRKETİ</x:v>
      </x:c>
      <x:c r="B278" s="3" t="str">
        <x:v>https://www.temrenmakina.com</x:v>
      </x:c>
      <x:c r="C278" s="3" t="str">
        <x:v>satis@temrenmakina.com</x:v>
      </x:c>
      <x:c r="D278" s="3" t="str">
        <x:v>‎0312 815 15 15</x:v>
      </x:c>
      <x:c r="E278" s="3" t="str">
        <x:v>TAM</x:v>
      </x:c>
      <x:c r="F278" s="3" t="str">
        <x:v>SİSTEM</x:v>
      </x:c>
      <x:c r="G278" s="3" t="str">
        <x:v>medium</x:v>
      </x:c>
      <x:c r="H278" s="3" t="str">
        <x:v>87</x:v>
      </x:c>
      <x:c r="I278" s="3" t="str">
        <x:v>FARKLI_RESMI_SITE_ONCELIKLI</x:v>
      </x:c>
      <x:c r="J278" s="3" t="str">
        <x:v>‎+90 312 815 23 22</x:v>
      </x:c>
      <x:c r="K278" s="8"/>
      <x:c r="L278" s="8" t="str">
        <x:v>https://www.temrenmakina.com</x:v>
      </x:c>
      <x:c r="M278" s="8" t="str">
        <x:v>https://www.temrenmakina.com</x:v>
      </x:c>
      <x:c r="N278" s="8" t="str">
        <x:v>https://www.maktekfuari.com/brand/temren-makina-imalat-muhendislik-sanayi-ve-ticaret-limited-sirketi</x:v>
      </x:c>
      <x:c r="O278" s="3" t="str">
        <x:v>6</x:v>
      </x:c>
      <x:c r="P278" s="3" t="str">
        <x:v>612B</x:v>
      </x:c>
      <x:c r="Q278" s="8"/>
      <x:c r="R278" s="8"/>
    </x:row>
    <x:row r="279">
      <x:c r="A279" s="3" t="str">
        <x:v>TESE MAKİNE SAN. VE TİC. LTD. ŞTİ.</x:v>
      </x:c>
      <x:c r="B279" s="3" t="str">
        <x:v>https://www.tesemakine.com</x:v>
      </x:c>
      <x:c r="C279" s="3" t="str">
        <x:v>info@tesemakine.com</x:v>
      </x:c>
      <x:c r="D279" s="3" t="str">
        <x:v>‎0212 544 87 53</x:v>
      </x:c>
      <x:c r="E279" s="3" t="str">
        <x:v>TAM</x:v>
      </x:c>
      <x:c r="F279" s="3" t="str">
        <x:v>SİSTEM</x:v>
      </x:c>
      <x:c r="G279" s="3" t="str">
        <x:v>high</x:v>
      </x:c>
      <x:c r="H279" s="3" t="str">
        <x:v>100</x:v>
      </x:c>
      <x:c r="I279" s="3" t="str">
        <x:v>FUAR_REFERANSI_YOK</x:v>
      </x:c>
      <x:c r="J279" s="3"/>
      <x:c r="K279" s="8"/>
      <x:c r="L279" s="8" t="str">
        <x:v>https://www.tesemakine.com</x:v>
      </x:c>
      <x:c r="M279" s="8" t="str">
        <x:v>https://www.tesemakine.com</x:v>
      </x:c>
      <x:c r="N279" s="8" t="str">
        <x:v>https://www.maktekfuari.com/brand/tese-makine-san-ve-tic-ltd-sti</x:v>
      </x:c>
      <x:c r="O279" s="3" t="str">
        <x:v>11</x:v>
      </x:c>
      <x:c r="P279" s="3" t="str">
        <x:v>1103</x:v>
      </x:c>
      <x:c r="Q279" s="8"/>
      <x:c r="R279" s="8"/>
    </x:row>
    <x:row r="280">
      <x:c r="A280" s="3" t="str">
        <x:v>TEZAYMAK TAKIM TEZGAHLARI SAN. VE TİC. A.Ş.</x:v>
      </x:c>
      <x:c r="B280" s="3" t="str">
        <x:v>https://tezaymak.com.tr</x:v>
      </x:c>
      <x:c r="C280" s="3" t="str">
        <x:v>info@tezaymak.com</x:v>
      </x:c>
      <x:c r="D280" s="3" t="str">
        <x:v>‎0212 549 59 69</x:v>
      </x:c>
      <x:c r="E280" s="3" t="str">
        <x:v>TAM</x:v>
      </x:c>
      <x:c r="F280" s="3" t="str">
        <x:v>SİSTEM</x:v>
      </x:c>
      <x:c r="G280" s="3" t="str">
        <x:v>high</x:v>
      </x:c>
      <x:c r="H280" s="3" t="str">
        <x:v>100</x:v>
      </x:c>
      <x:c r="I280" s="3" t="str">
        <x:v>FUAR_REFERANSI_YOK</x:v>
      </x:c>
      <x:c r="J280" s="3"/>
      <x:c r="K280" s="8"/>
      <x:c r="L280" s="8" t="str">
        <x:v>https://tezaymak.com.tr/iletisim/</x:v>
      </x:c>
      <x:c r="M280" s="8" t="str">
        <x:v>https://tezaymak.com.tr/iletisim/</x:v>
      </x:c>
      <x:c r="N280" s="8" t="str">
        <x:v>https://www.maktekfuari.com/brand/tezaymak-takim-tezgahlari-san-ve-tic-as</x:v>
      </x:c>
      <x:c r="O280" s="3" t="str">
        <x:v>7</x:v>
      </x:c>
      <x:c r="P280" s="3" t="str">
        <x:v>712</x:v>
      </x:c>
      <x:c r="Q280" s="8"/>
      <x:c r="R280" s="8"/>
    </x:row>
    <x:row r="281">
      <x:c r="A281" s="11" t="str">
        <x:v>TEZMAKSAN MAKİNA SAN VE TİC A.Ş.</x:v>
      </x:c>
      <x:c r="B281" s="11" t="str">
        <x:v>https://www.tezmaksan.com</x:v>
      </x:c>
      <x:c r="C281" s="11"/>
      <x:c r="D281" s="11"/>
      <x:c r="E281" s="11" t="str">
        <x:v>KISMI</x:v>
      </x:c>
      <x:c r="F281" s="11" t="str">
        <x:v>MANUEL WEB DOĞRULAMA</x:v>
      </x:c>
      <x:c r="G281" s="11" t="str">
        <x:v>manual</x:v>
      </x:c>
      <x:c r="H281" s="11"/>
      <x:c r="I281" s="11" t="str">
        <x:v>TELEFON_YOK</x:v>
      </x:c>
      <x:c r="J281" s="11" t="str">
        <x:v>‎+90 212 674 60 10</x:v>
      </x:c>
      <x:c r="K281" s="12" t="str">
        <x:v>Resmî site üzerindeki ayırt edici marka/ticari unvan, Türkiye adresi veya fuar telefon eşleşmesiyle kimlik doğrulandı. İletişim yalnız doğrulanan resmî siteden alındı. Kimlik kanıtı: https://www.tezmaksan.com/</x:v>
      </x:c>
      <x:c r="L281" s="12"/>
      <x:c r="M281" s="12"/>
      <x:c r="N281" s="12" t="str">
        <x:v>https://www.maktekfuari.com/brand/tezmaksan-makina-san-ve-tic-as</x:v>
      </x:c>
      <x:c r="O281" s="11" t="str">
        <x:v>8</x:v>
      </x:c>
      <x:c r="P281" s="11" t="str">
        <x:v>802</x:v>
      </x:c>
      <x:c r="Q281" s="12"/>
      <x:c r="R281" s="12"/>
    </x:row>
    <x:row r="282">
      <x:c r="A282" s="3" t="str">
        <x:v>TFON MAKİNE A.Ş.</x:v>
      </x:c>
      <x:c r="B282" s="3" t="str">
        <x:v>https://tfon.com.tr</x:v>
      </x:c>
      <x:c r="C282" s="3" t="str">
        <x:v>info@tfon.com.tr</x:v>
      </x:c>
      <x:c r="D282" s="3" t="str">
        <x:v>‎0533 034 01 99</x:v>
      </x:c>
      <x:c r="E282" s="3" t="str">
        <x:v>TAM</x:v>
      </x:c>
      <x:c r="F282" s="3" t="str">
        <x:v>SİSTEM</x:v>
      </x:c>
      <x:c r="G282" s="3" t="str">
        <x:v>high</x:v>
      </x:c>
      <x:c r="H282" s="3" t="str">
        <x:v>100</x:v>
      </x:c>
      <x:c r="I282" s="3" t="str">
        <x:v>FARKLI_RESMI_SITE_ONCELIKLI</x:v>
      </x:c>
      <x:c r="J282" s="3" t="str">
        <x:v>‎+90 533 155 91 18</x:v>
      </x:c>
      <x:c r="K282" s="8"/>
      <x:c r="L282" s="8" t="str">
        <x:v>https://tfon.com.tr</x:v>
      </x:c>
      <x:c r="M282" s="8" t="str">
        <x:v>https://tfon.com.tr</x:v>
      </x:c>
      <x:c r="N282" s="8" t="str">
        <x:v>https://www.maktekfuari.com/brand/tfon-makine-as</x:v>
      </x:c>
      <x:c r="O282" s="3" t="str">
        <x:v>2</x:v>
      </x:c>
      <x:c r="P282" s="3" t="str">
        <x:v>219</x:v>
      </x:c>
      <x:c r="Q282" s="8"/>
      <x:c r="R282" s="8"/>
    </x:row>
    <x:row r="283">
      <x:c r="A283" s="3" t="str">
        <x:v>TİTANİT ULTRA SERT KAPLAMALAR SAN. VE TİC. LTD. ŞTİ.</x:v>
      </x:c>
      <x:c r="B283" s="3" t="str">
        <x:v>https://www.titanit.com.tr</x:v>
      </x:c>
      <x:c r="C283" s="3" t="str">
        <x:v>titanit@titanit.com.tr</x:v>
      </x:c>
      <x:c r="D283" s="3" t="str">
        <x:v>‎0212 547 71 96</x:v>
      </x:c>
      <x:c r="E283" s="3" t="str">
        <x:v>TAM</x:v>
      </x:c>
      <x:c r="F283" s="3" t="str">
        <x:v>SİSTEM</x:v>
      </x:c>
      <x:c r="G283" s="3" t="str">
        <x:v>high</x:v>
      </x:c>
      <x:c r="H283" s="3" t="str">
        <x:v>93</x:v>
      </x:c>
      <x:c r="I283" s="3" t="str">
        <x:v>FARKLI_RESMI_SITE_ONCELIKLI</x:v>
      </x:c>
      <x:c r="J283" s="3" t="str">
        <x:v>‎+90 533 209 59 35</x:v>
      </x:c>
      <x:c r="K283" s="8"/>
      <x:c r="L283" s="8" t="str">
        <x:v>https://www.titanit.com.tr</x:v>
      </x:c>
      <x:c r="M283" s="8" t="str">
        <x:v>https://www.titanit.com.tr</x:v>
      </x:c>
      <x:c r="N283" s="8" t="str">
        <x:v>https://www.maktekfuari.com/brand/titanit-ultra-sert-kaplamalar-san-ve-tic-ltd-sti</x:v>
      </x:c>
      <x:c r="O283" s="3" t="str">
        <x:v>11</x:v>
      </x:c>
      <x:c r="P283" s="3" t="str">
        <x:v>1132</x:v>
      </x:c>
      <x:c r="Q283" s="8"/>
      <x:c r="R283" s="8"/>
    </x:row>
    <x:row r="284">
      <x:c r="A284" s="3" t="str">
        <x:v>TMT MAKİNE SANAYİ VE TİCARET LTD. ŞTİ.</x:v>
      </x:c>
      <x:c r="B284" s="3" t="str">
        <x:v>https://lockcell.com.tr</x:v>
      </x:c>
      <x:c r="C284" s="3" t="str">
        <x:v>info@tmtmakine.com.tr</x:v>
      </x:c>
      <x:c r="D284" s="3" t="str">
        <x:v>‎0262 502 45 70</x:v>
      </x:c>
      <x:c r="E284" s="3" t="str">
        <x:v>TAM</x:v>
      </x:c>
      <x:c r="F284" s="3" t="str">
        <x:v>SİSTEM</x:v>
      </x:c>
      <x:c r="G284" s="3" t="str">
        <x:v>medium</x:v>
      </x:c>
      <x:c r="H284" s="3" t="str">
        <x:v>85</x:v>
      </x:c>
      <x:c r="I284" s="3" t="str">
        <x:v>FARKLI_RESMI_SITE_ONCELIKLI</x:v>
      </x:c>
      <x:c r="J284" s="3" t="str">
        <x:v>‎+90 541 314 04 90</x:v>
      </x:c>
      <x:c r="K284" s="8"/>
      <x:c r="L284" s="8" t="str">
        <x:v>https://lockcell.com.tr</x:v>
      </x:c>
      <x:c r="M284" s="8" t="str">
        <x:v>https://lockcell.com.tr</x:v>
      </x:c>
      <x:c r="N284" s="8" t="str">
        <x:v>https://www.maktekfuari.com/brand/tmt-makine-sanayi-ve-ticaret-ltd-sti</x:v>
      </x:c>
      <x:c r="O284" s="3" t="str">
        <x:v>11</x:v>
      </x:c>
      <x:c r="P284" s="3" t="str">
        <x:v>1157</x:v>
      </x:c>
      <x:c r="Q284" s="8" t="str">
        <x:v>LOCKCELL</x:v>
      </x:c>
      <x:c r="R284" s="8" t="str">
        <x:v>GERARDİ SPA; SPERONI SpA; Minitor Sfida</x:v>
      </x:c>
    </x:row>
    <x:row r="285">
      <x:c r="A285" s="11" t="str">
        <x:v>TRAKYA KESİCİ TAK. SAN. VE TİC. LTD. ŞTİ.</x:v>
      </x:c>
      <x:c r="B285" s="11" t="str">
        <x:v>https://www.tkt.com.tr</x:v>
      </x:c>
      <x:c r="C285" s="11" t="str">
        <x:v>info@tkt.com.tr</x:v>
      </x:c>
      <x:c r="D285" s="11" t="str">
        <x:v>‎+90 212 485 87 86</x:v>
      </x:c>
      <x:c r="E285" s="11" t="str">
        <x:v>TAM</x:v>
      </x:c>
      <x:c r="F285" s="11" t="str">
        <x:v>MANUEL WEB DOĞRULAMA</x:v>
      </x:c>
      <x:c r="G285" s="11" t="str">
        <x:v>manual</x:v>
      </x:c>
      <x:c r="H285" s="11"/>
      <x:c r="I285" s="11" t="str">
        <x:v>FUAR_REFERANSI_YOK</x:v>
      </x:c>
      <x:c r="J285" s="11"/>
      <x:c r="K285" s="12" t="str">
        <x:v>Resmî site üzerindeki ayırt edici marka/ticari unvan, Türkiye adresi veya fuar telefon eşleşmesiyle kimlik doğrulandı. İletişim yalnız doğrulanan resmî siteden alındı. Kimlik kanıtı: https://www.tkt.com.tr/tr</x:v>
      </x:c>
      <x:c r="L285" s="12" t="str">
        <x:v>https://www.tkt.com.tr/tr</x:v>
      </x:c>
      <x:c r="M285" s="12" t="str">
        <x:v>https://www.tkt.com.tr/tr</x:v>
      </x:c>
      <x:c r="N285" s="12" t="str">
        <x:v>https://www.maktekfuari.com/brand/trakya-kesici-tak-san-ve-tic-ltd-sti</x:v>
      </x:c>
      <x:c r="O285" s="11" t="str">
        <x:v>12A</x:v>
      </x:c>
      <x:c r="P285" s="11" t="str">
        <x:v>07</x:v>
      </x:c>
      <x:c r="Q285" s="12"/>
      <x:c r="R285" s="12"/>
    </x:row>
    <x:row r="286">
      <x:c r="A286" s="11" t="str">
        <x:v>TRUMPF MAKİNA SAN.A.Ş.</x:v>
      </x:c>
      <x:c r="B286" s="11" t="str">
        <x:v>https://www.trumpf.com/tr_TR/</x:v>
      </x:c>
      <x:c r="C286" s="11"/>
      <x:c r="D286" s="11" t="str">
        <x:v>‎+90 216 570 45 00</x:v>
      </x:c>
      <x:c r="E286" s="11" t="str">
        <x:v>KISMI</x:v>
      </x:c>
      <x:c r="F286" s="11" t="str">
        <x:v>MANUEL WEB DOĞRULAMA</x:v>
      </x:c>
      <x:c r="G286" s="11" t="str">
        <x:v>manual</x:v>
      </x:c>
      <x:c r="H286" s="11"/>
      <x:c r="I286" s="11" t="str">
        <x:v>MANUEL_ESLESTI</x:v>
      </x:c>
      <x:c r="J286" s="11" t="str">
        <x:v>‎+90 216 570 45 00</x:v>
      </x:c>
      <x:c r="K286" s="12" t="str">
        <x:v>Resmî site üzerindeki ayırt edici marka/ticari unvan, Türkiye adresi veya fuar telefon eşleşmesiyle kimlik doğrulandı. İletişim yalnız doğrulanan resmî siteden alındı. Kimlik kanıtı: https://www.trumpf.com/tr_TR/</x:v>
      </x:c>
      <x:c r="L286" s="12"/>
      <x:c r="M286" s="12" t="str">
        <x:v>https://www.trumpf.com/tr_TR/</x:v>
      </x:c>
      <x:c r="N286" s="12" t="str">
        <x:v>https://www.maktekfuari.com/brand/trumpf-makina-sanas</x:v>
      </x:c>
      <x:c r="O286" s="11" t="str">
        <x:v>3</x:v>
      </x:c>
      <x:c r="P286" s="11" t="str">
        <x:v>312</x:v>
      </x:c>
      <x:c r="Q286" s="12" t="str">
        <x:v>TRUMPF</x:v>
      </x:c>
      <x:c r="R286" s="12" t="str">
        <x:v>TRUMPF SE + Co. KG</x:v>
      </x:c>
    </x:row>
    <x:row r="287">
      <x:c r="A287" s="3" t="str">
        <x:v>TT LAZER TEKNOLOJİLERİ LTD. ŞTİ.</x:v>
      </x:c>
      <x:c r="B287" s="3" t="str">
        <x:v>https://ttlazer.com</x:v>
      </x:c>
      <x:c r="C287" s="3" t="str">
        <x:v>info@ttlazer.com</x:v>
      </x:c>
      <x:c r="D287" s="3" t="str">
        <x:v>‎0537 264 84 90</x:v>
      </x:c>
      <x:c r="E287" s="3" t="str">
        <x:v>TAM</x:v>
      </x:c>
      <x:c r="F287" s="3" t="str">
        <x:v>SİSTEM</x:v>
      </x:c>
      <x:c r="G287" s="3" t="str">
        <x:v>medium</x:v>
      </x:c>
      <x:c r="H287" s="3" t="str">
        <x:v>85</x:v>
      </x:c>
      <x:c r="I287" s="3" t="str">
        <x:v>FARKLI_RESMI_SITE_ONCELIKLI</x:v>
      </x:c>
      <x:c r="J287" s="3" t="str">
        <x:v>‎+90 505 819 73 26</x:v>
      </x:c>
      <x:c r="K287" s="8"/>
      <x:c r="L287" s="8" t="str">
        <x:v>https://ttlazer.com</x:v>
      </x:c>
      <x:c r="M287" s="8" t="str">
        <x:v>https://ttlazer.com</x:v>
      </x:c>
      <x:c r="N287" s="8" t="str">
        <x:v>https://www.maktekfuari.com/brand/tt-lazer-teknolojileri-ltd-sti</x:v>
      </x:c>
      <x:c r="O287" s="3" t="str">
        <x:v>11A</x:v>
      </x:c>
      <x:c r="P287" s="3" t="str">
        <x:v>24</x:v>
      </x:c>
      <x:c r="Q287" s="8" t="str">
        <x:v>HG STAR</x:v>
      </x:c>
      <x:c r="R287" s="8" t="str">
        <x:v>HG STAR TECHNOLOGY CO.,Ltd.</x:v>
      </x:c>
    </x:row>
    <x:row r="288">
      <x:c r="A288" s="11" t="str">
        <x:v>TUBEND MAKİNA SAN. VE TİC. A.Ş.</x:v>
      </x:c>
      <x:c r="B288" s="11" t="str">
        <x:v>https://www.tubend.com.tr</x:v>
      </x:c>
      <x:c r="C288" s="11"/>
      <x:c r="D288" s="11" t="str">
        <x:v>‎+90 542 510 25 74</x:v>
      </x:c>
      <x:c r="E288" s="11" t="str">
        <x:v>KISMI</x:v>
      </x:c>
      <x:c r="F288" s="11" t="str">
        <x:v>MANUEL WEB DOĞRULAMA</x:v>
      </x:c>
      <x:c r="G288" s="11" t="str">
        <x:v>manual</x:v>
      </x:c>
      <x:c r="H288" s="11"/>
      <x:c r="I288" s="11" t="str">
        <x:v>MANUEL_ESLESTI</x:v>
      </x:c>
      <x:c r="J288" s="11" t="str">
        <x:v>‎+90 542 510 25 74</x:v>
      </x:c>
      <x:c r="K288" s="12" t="str">
        <x:v>Resmî site üzerindeki ayırt edici marka/ticari unvan, Türkiye adresi veya fuar telefon eşleşmesiyle kimlik doğrulandı. İletişim yalnız doğrulanan resmî siteden alındı. Kimlik kanıtı: https://www.tubend.com.tr/</x:v>
      </x:c>
      <x:c r="L288" s="12"/>
      <x:c r="M288" s="12" t="str">
        <x:v>https://www.tubend.com.tr/</x:v>
      </x:c>
      <x:c r="N288" s="12" t="str">
        <x:v>https://www.maktekfuari.com/brand/tubend-makina-san-ve-tic-as</x:v>
      </x:c>
      <x:c r="O288" s="11" t="str">
        <x:v>2</x:v>
      </x:c>
      <x:c r="P288" s="11" t="str">
        <x:v>218</x:v>
      </x:c>
      <x:c r="Q288" s="12"/>
      <x:c r="R288" s="12"/>
    </x:row>
    <x:row r="289">
      <x:c r="A289" s="11" t="str">
        <x:v>TULPAR TOOLS METAL İŞLEME TEKNOLOJİLERİ SAN. VE TİC. A.Ş.</x:v>
      </x:c>
      <x:c r="B289" s="11" t="str">
        <x:v>http://tulpartools.com/</x:v>
      </x:c>
      <x:c r="C289" s="11"/>
      <x:c r="D289" s="11"/>
      <x:c r="E289" s="11" t="str">
        <x:v>KISMI</x:v>
      </x:c>
      <x:c r="F289" s="11" t="str">
        <x:v>MANUEL WEB DOĞRULAMA</x:v>
      </x:c>
      <x:c r="G289" s="11" t="str">
        <x:v>manual</x:v>
      </x:c>
      <x:c r="H289" s="11"/>
      <x:c r="I289" s="11" t="str">
        <x:v>TELEFON_YOK</x:v>
      </x:c>
      <x:c r="J289" s="11" t="str">
        <x:v>‎+90 532 659 95 58</x:v>
      </x:c>
      <x:c r="K289" s="12" t="str">
        <x:v>Resmî site üzerindeki ayırt edici marka/ticari unvan, Türkiye adresi veya fuar telefon eşleşmesiyle kimlik doğrulandı. İletişim yalnız doğrulanan resmî siteden alındı. Kimlik kanıtı: http://tulpartools.com/</x:v>
      </x:c>
      <x:c r="L289" s="12"/>
      <x:c r="M289" s="12"/>
      <x:c r="N289" s="12" t="str">
        <x:v>https://www.maktekfuari.com/brand/tulpar-tools-metal-isleme-teknolojileri-san-ve-tic-as</x:v>
      </x:c>
      <x:c r="O289" s="11" t="str">
        <x:v>11A</x:v>
      </x:c>
      <x:c r="P289" s="11" t="str">
        <x:v>11</x:v>
      </x:c>
      <x:c r="Q289" s="12" t="str">
        <x:v>TULPAR TOOLS METAL İŞLEME TEKNOLOJİLERİ SANAYİ VE TİCARET ANONİM ŞİRKETİ</x:v>
      </x:c>
      <x:c r="R289" s="12"/>
    </x:row>
    <x:row r="290">
      <x:c r="A290" s="3" t="str">
        <x:v>TUMA HASSAS TUTUCU TAK.MED.OTO.MAK.SAN.TİC.LTD.ŞTİ</x:v>
      </x:c>
      <x:c r="B290" s="3" t="str">
        <x:v>https://tuma.com.tr</x:v>
      </x:c>
      <x:c r="C290" s="3" t="str">
        <x:v>export@tuma.com.tr</x:v>
      </x:c>
      <x:c r="D290" s="3" t="str">
        <x:v>‎0332 345 35 87</x:v>
      </x:c>
      <x:c r="E290" s="3" t="str">
        <x:v>TAM</x:v>
      </x:c>
      <x:c r="F290" s="3" t="str">
        <x:v>SİSTEM</x:v>
      </x:c>
      <x:c r="G290" s="3" t="str">
        <x:v>high</x:v>
      </x:c>
      <x:c r="H290" s="3" t="str">
        <x:v>100</x:v>
      </x:c>
      <x:c r="I290" s="3" t="str">
        <x:v>FUAR_REFERANSI_YOK</x:v>
      </x:c>
      <x:c r="J290" s="3"/>
      <x:c r="K290" s="8"/>
      <x:c r="L290" s="8" t="str">
        <x:v>https://tuma.com.tr</x:v>
      </x:c>
      <x:c r="M290" s="8" t="str">
        <x:v>https://tuma.com.tr</x:v>
      </x:c>
      <x:c r="N290" s="8" t="str">
        <x:v>https://www.maktekfuari.com/brand/tuma-hassas-tutucu-takmedotomaksanticltdsti</x:v>
      </x:c>
      <x:c r="O290" s="3" t="str">
        <x:v>11</x:v>
      </x:c>
      <x:c r="P290" s="3" t="str">
        <x:v>1165</x:v>
      </x:c>
      <x:c r="Q290" s="8"/>
      <x:c r="R290" s="8"/>
    </x:row>
    <x:row r="291">
      <x:c r="A291" s="3" t="str">
        <x:v>TUROMAK MAKİNA SAN. VE TİC. LTD. ŞTİ.</x:v>
      </x:c>
      <x:c r="B291" s="3" t="str">
        <x:v>https://www.turomak.com.tr</x:v>
      </x:c>
      <x:c r="C291" s="3" t="str">
        <x:v>info@turomak.com</x:v>
      </x:c>
      <x:c r="D291" s="3" t="str">
        <x:v>‎0216 266 66 12</x:v>
      </x:c>
      <x:c r="E291" s="3" t="str">
        <x:v>TAM</x:v>
      </x:c>
      <x:c r="F291" s="3" t="str">
        <x:v>SİSTEM</x:v>
      </x:c>
      <x:c r="G291" s="3" t="str">
        <x:v>medium</x:v>
      </x:c>
      <x:c r="H291" s="3" t="str">
        <x:v>85</x:v>
      </x:c>
      <x:c r="I291" s="3" t="str">
        <x:v>ESLESTI</x:v>
      </x:c>
      <x:c r="J291" s="3" t="str">
        <x:v>‎+90 216 266 66 12</x:v>
      </x:c>
      <x:c r="K291" s="8"/>
      <x:c r="L291" s="8" t="str">
        <x:v>https://www.turomak.com.tr</x:v>
      </x:c>
      <x:c r="M291" s="8" t="str">
        <x:v>https://www.turomak.com.tr</x:v>
      </x:c>
      <x:c r="N291" s="8" t="str">
        <x:v>https://www.maktekfuari.com/brand/turomak-makina-san-ve-tic-ltd-sti</x:v>
      </x:c>
      <x:c r="O291" s="3" t="str">
        <x:v>9</x:v>
      </x:c>
      <x:c r="P291" s="3" t="str">
        <x:v>918</x:v>
      </x:c>
      <x:c r="Q291" s="8" t="str">
        <x:v>TUROMAK</x:v>
      </x:c>
      <x:c r="R291" s="8" t="str">
        <x:v>STRIGON; SMT; UNISIGN; VOORTMAN; FACCIN; MANDELLI; PARAGON; PRAISE; MYDAY; HITEC; ESAB CUTTING SYSTEMS; FAT by HACO; OMSG / CARLO BANFI; CHUNGWEI GREAT; SAVIM; TECNOMAGNETE (MAG-AUTOBLOK); CMM; RAFAMET; POREBA</x:v>
      </x:c>
    </x:row>
    <x:row r="292">
      <x:c r="A292" s="3" t="str">
        <x:v>TÜRK STANDARDLARI ENSTİTÜSÜ</x:v>
      </x:c>
      <x:c r="B292" s="3" t="str">
        <x:v>https://www.tse.org.tr</x:v>
      </x:c>
      <x:c r="C292" s="3" t="str">
        <x:v>egitim@tse.org.tr</x:v>
      </x:c>
      <x:c r="D292" s="3"/>
      <x:c r="E292" s="3" t="str">
        <x:v>KISMI</x:v>
      </x:c>
      <x:c r="F292" s="3" t="str">
        <x:v>SİSTEM</x:v>
      </x:c>
      <x:c r="G292" s="3" t="str">
        <x:v>high</x:v>
      </x:c>
      <x:c r="H292" s="3" t="str">
        <x:v>100</x:v>
      </x:c>
      <x:c r="I292" s="3" t="str">
        <x:v>RESMI_SITEDE_TELEFON_YOK</x:v>
      </x:c>
      <x:c r="J292" s="3"/>
      <x:c r="K292" s="8"/>
      <x:c r="L292" s="8" t="str">
        <x:v>https://www.tse.org.tr</x:v>
      </x:c>
      <x:c r="M292" s="8"/>
      <x:c r="N292" s="8" t="str">
        <x:v>https://www.maktekfuari.com/brand/turk-standardlari-enstitusu</x:v>
      </x:c>
      <x:c r="O292" s="3" t="str">
        <x:v>6</x:v>
      </x:c>
      <x:c r="P292" s="3" t="str">
        <x:v>609A</x:v>
      </x:c>
      <x:c r="Q292" s="8"/>
      <x:c r="R292" s="8"/>
    </x:row>
    <x:row r="293">
      <x:c r="A293" s="3" t="str">
        <x:v>UGO BİLİŞİM TİC. VE LTD. ŞTİ.</x:v>
      </x:c>
      <x:c r="B293" s="3" t="str">
        <x:v>https://ugobilisim.com</x:v>
      </x:c>
      <x:c r="C293" s="3" t="str">
        <x:v>info@ugobilisim.com</x:v>
      </x:c>
      <x:c r="D293" s="3" t="str">
        <x:v>‎0543 528 56 00</x:v>
      </x:c>
      <x:c r="E293" s="3" t="str">
        <x:v>TAM</x:v>
      </x:c>
      <x:c r="F293" s="3" t="str">
        <x:v>SİSTEM</x:v>
      </x:c>
      <x:c r="G293" s="3" t="str">
        <x:v>high</x:v>
      </x:c>
      <x:c r="H293" s="3" t="str">
        <x:v>100</x:v>
      </x:c>
      <x:c r="I293" s="3" t="str">
        <x:v>ESLESTI</x:v>
      </x:c>
      <x:c r="J293" s="3" t="str">
        <x:v>‎+90 543 528 56 00</x:v>
      </x:c>
      <x:c r="K293" s="8"/>
      <x:c r="L293" s="8" t="str">
        <x:v>https://ugobilisim.com/tr/contact</x:v>
      </x:c>
      <x:c r="M293" s="8" t="str">
        <x:v>https://ugobilisim.com</x:v>
      </x:c>
      <x:c r="N293" s="8" t="str">
        <x:v>https://www.maktekfuari.com/brand/ugo-bilisim-tic-ve-ltd-sti</x:v>
      </x:c>
      <x:c r="O293" s="3" t="str">
        <x:v>12A</x:v>
      </x:c>
      <x:c r="P293" s="3" t="str">
        <x:v>19</x:v>
      </x:c>
      <x:c r="Q293" s="8"/>
      <x:c r="R293" s="8" t="str">
        <x:v>ZHEJIANG SHUANGZHENG TECHNOLOGY CO.,LTD; NINGBO SANHAN ALLOY MATERIAL CO.,LTD.; DONGGUAN CITY TERMA ELECTRONICS CO.LTD; ZHEJIANG BOLLY SAW INDUSTRY CO., LTD.</x:v>
      </x:c>
    </x:row>
    <x:row r="294">
      <x:c r="A294" s="3" t="str">
        <x:v>UĞURSAN MAK.KALIP SAN. CNC TAKIM TEZ. BİLG. SİS. LTD. ŞTİ.</x:v>
      </x:c>
      <x:c r="B294" s="3" t="str">
        <x:v>https://www.ugursancnc.com</x:v>
      </x:c>
      <x:c r="C294" s="3" t="str">
        <x:v>info@ugursancnc.com</x:v>
      </x:c>
      <x:c r="D294" s="3" t="str">
        <x:v>‎0212 493 38 73</x:v>
      </x:c>
      <x:c r="E294" s="3" t="str">
        <x:v>TAM</x:v>
      </x:c>
      <x:c r="F294" s="3" t="str">
        <x:v>SİSTEM</x:v>
      </x:c>
      <x:c r="G294" s="3" t="str">
        <x:v>medium</x:v>
      </x:c>
      <x:c r="H294" s="3" t="str">
        <x:v>81</x:v>
      </x:c>
      <x:c r="I294" s="3" t="str">
        <x:v>FARKLI_RESMI_SITE_ONCELIKLI</x:v>
      </x:c>
      <x:c r="J294" s="3" t="str">
        <x:v>‎+90 532 599 52 12</x:v>
      </x:c>
      <x:c r="K294" s="8"/>
      <x:c r="L294" s="8" t="str">
        <x:v>https://www.ugursancnc.com</x:v>
      </x:c>
      <x:c r="M294" s="8" t="str">
        <x:v>https://www.ugursancnc.com</x:v>
      </x:c>
      <x:c r="N294" s="8" t="str">
        <x:v>https://www.maktekfuari.com/brand/ugursan-makkalip-san-cnc-takim-tez-bilg-sis-ltd-sti</x:v>
      </x:c>
      <x:c r="O294" s="3" t="str">
        <x:v>5</x:v>
      </x:c>
      <x:c r="P294" s="3" t="str">
        <x:v>502</x:v>
      </x:c>
      <x:c r="Q294" s="8" t="str">
        <x:v>JOINT</x:v>
      </x:c>
      <x:c r="R294" s="8"/>
    </x:row>
    <x:row r="295">
      <x:c r="A295" s="3" t="str">
        <x:v>UNITED MACHINING TURKEY MAKİNE TİC. LTD. ŞTİ.</x:v>
      </x:c>
      <x:c r="B295" s="3" t="str">
        <x:v>https://www.unitedmachining.us</x:v>
      </x:c>
      <x:c r="C295" s="3" t="str">
        <x:v>dylan@unitedmachining.us</x:v>
      </x:c>
      <x:c r="D295" s="3" t="str">
        <x:v>‎0508 865 30 35</x:v>
      </x:c>
      <x:c r="E295" s="3" t="str">
        <x:v>TAM</x:v>
      </x:c>
      <x:c r="F295" s="3" t="str">
        <x:v>SİSTEM</x:v>
      </x:c>
      <x:c r="G295" s="3" t="str">
        <x:v>high</x:v>
      </x:c>
      <x:c r="H295" s="3" t="str">
        <x:v>98</x:v>
      </x:c>
      <x:c r="I295" s="3" t="str">
        <x:v>FUAR_REFERANSI_YOK</x:v>
      </x:c>
      <x:c r="J295" s="3"/>
      <x:c r="K295" s="8"/>
      <x:c r="L295" s="8" t="str">
        <x:v>https://www.unitedmachining.us</x:v>
      </x:c>
      <x:c r="M295" s="8" t="str">
        <x:v>https://www.unitedmachining.us</x:v>
      </x:c>
      <x:c r="N295" s="8" t="str">
        <x:v>https://www.maktekfuari.com/brand/united-machining-turkey-makine-tic-ltd-sti</x:v>
      </x:c>
      <x:c r="O295" s="3" t="str">
        <x:v>4</x:v>
      </x:c>
      <x:c r="P295" s="3" t="str">
        <x:v>401</x:v>
      </x:c>
      <x:c r="Q295" s="8"/>
      <x:c r="R295" s="8"/>
    </x:row>
    <x:row r="296">
      <x:c r="A296" s="3" t="str">
        <x:v>UZAY MAKİNA TAKIM TEZ. SAN VE TİC A.Ş.</x:v>
      </x:c>
      <x:c r="B296" s="3" t="str">
        <x:v>https://www.uzaymak.com</x:v>
      </x:c>
      <x:c r="C296" s="3" t="str">
        <x:v>export@uzaymak.com</x:v>
      </x:c>
      <x:c r="D296" s="3" t="str">
        <x:v>‎0212 875 58 91</x:v>
      </x:c>
      <x:c r="E296" s="3" t="str">
        <x:v>TAM</x:v>
      </x:c>
      <x:c r="F296" s="3" t="str">
        <x:v>SİSTEM</x:v>
      </x:c>
      <x:c r="G296" s="3" t="str">
        <x:v>medium</x:v>
      </x:c>
      <x:c r="H296" s="3" t="str">
        <x:v>87</x:v>
      </x:c>
      <x:c r="I296" s="3" t="str">
        <x:v>ESLESTI</x:v>
      </x:c>
      <x:c r="J296" s="3" t="str">
        <x:v>‎+90 212 875 58 91</x:v>
      </x:c>
      <x:c r="K296" s="8"/>
      <x:c r="L296" s="8" t="str">
        <x:v>https://www.uzaymak.com/iletisim.html</x:v>
      </x:c>
      <x:c r="M296" s="8" t="str">
        <x:v>https://www.uzaymak.com/iletisim.html</x:v>
      </x:c>
      <x:c r="N296" s="8" t="str">
        <x:v>https://www.maktekfuari.com/brand/uzay-makina-takim-tez-san-ve-tic-as</x:v>
      </x:c>
      <x:c r="O296" s="3" t="str">
        <x:v>3</x:v>
      </x:c>
      <x:c r="P296" s="3" t="str">
        <x:v>301</x:v>
      </x:c>
      <x:c r="Q296" s="8"/>
      <x:c r="R296" s="8"/>
    </x:row>
    <x:row r="297">
      <x:c r="A297" s="11" t="str">
        <x:v>ÜÇGEN YAZILIM DANIŞMANLIK BİLG.VE MAK.SAN.TİC.LTD.ŞTİ.</x:v>
      </x:c>
      <x:c r="B297" s="11" t="str">
        <x:v>https://ucgenyazilim.com/</x:v>
      </x:c>
      <x:c r="C297" s="11" t="str">
        <x:v>bilgi@ucgenyazilim.com</x:v>
      </x:c>
      <x:c r="D297" s="11"/>
      <x:c r="E297" s="11" t="str">
        <x:v>KISMI</x:v>
      </x:c>
      <x:c r="F297" s="11" t="str">
        <x:v>MANUEL WEB DOĞRULAMA</x:v>
      </x:c>
      <x:c r="G297" s="11" t="str">
        <x:v>manual</x:v>
      </x:c>
      <x:c r="H297" s="11"/>
      <x:c r="I297" s="11" t="str">
        <x:v>TELEFON_YOK</x:v>
      </x:c>
      <x:c r="J297" s="11" t="str">
        <x:v>‎+90 216 550 52 06</x:v>
      </x:c>
      <x:c r="K297" s="12" t="str">
        <x:v>Resmî site üzerindeki ayırt edici marka/ticari unvan, Türkiye adresi veya fuar telefon eşleşmesiyle kimlik doğrulandı. İletişim yalnız doğrulanan resmî siteden alındı. Kimlik kanıtı: https://ucgenyazilim.com/iletisim</x:v>
      </x:c>
      <x:c r="L297" s="12" t="str">
        <x:v>https://ucgenyazilim.com/</x:v>
      </x:c>
      <x:c r="M297" s="12"/>
      <x:c r="N297" s="12" t="str">
        <x:v>https://www.maktekfuari.com/brand/ucgen-yazilim-danismanlik-bilgve-maksanticltdsti</x:v>
      </x:c>
      <x:c r="O297" s="11" t="str">
        <x:v>12</x:v>
      </x:c>
      <x:c r="P297" s="11" t="str">
        <x:v>1215</x:v>
      </x:c>
      <x:c r="Q297" s="12"/>
      <x:c r="R297" s="12"/>
    </x:row>
    <x:row r="298">
      <x:c r="A298" s="3" t="str">
        <x:v>VAN CNC TAKIM TEZGAHLARI SAN. VE TİC. A.Ş.</x:v>
      </x:c>
      <x:c r="B298" s="3" t="str">
        <x:v>https://vanmakina.com</x:v>
      </x:c>
      <x:c r="C298" s="3" t="str">
        <x:v>info@vanmakina.com</x:v>
      </x:c>
      <x:c r="D298" s="3" t="str">
        <x:v>‎0262 503 34 85</x:v>
      </x:c>
      <x:c r="E298" s="3" t="str">
        <x:v>TAM</x:v>
      </x:c>
      <x:c r="F298" s="3" t="str">
        <x:v>SİSTEM</x:v>
      </x:c>
      <x:c r="G298" s="3" t="str">
        <x:v>high</x:v>
      </x:c>
      <x:c r="H298" s="3" t="str">
        <x:v>100</x:v>
      </x:c>
      <x:c r="I298" s="3" t="str">
        <x:v>FARKLI_RESMI_SITE_ONCELIKLI</x:v>
      </x:c>
      <x:c r="J298" s="3" t="str">
        <x:v>‎+90 542 898 40 02</x:v>
      </x:c>
      <x:c r="K298" s="8"/>
      <x:c r="L298" s="8" t="str">
        <x:v>https://vanmakina.com</x:v>
      </x:c>
      <x:c r="M298" s="8" t="str">
        <x:v>https://vanmakina.com</x:v>
      </x:c>
      <x:c r="N298" s="8" t="str">
        <x:v>https://www.maktekfuari.com/brand/van-cnc-takim-tezgahlari-san-ve-tic-as</x:v>
      </x:c>
      <x:c r="O298" s="3" t="str">
        <x:v>10</x:v>
      </x:c>
      <x:c r="P298" s="3" t="str">
        <x:v>1013</x:v>
      </x:c>
      <x:c r="Q298" s="8" t="str">
        <x:v>VAN Precision Engineering</x:v>
      </x:c>
      <x:c r="R298" s="8"/>
    </x:row>
    <x:row r="299">
      <x:c r="A299" s="3" t="str">
        <x:v>VATAN CNC TAKIM TEZGAHLARI SAN TİC LTD ŞTİ</x:v>
      </x:c>
      <x:c r="B299" s="3" t="str">
        <x:v>https://vatancnc.com.tr</x:v>
      </x:c>
      <x:c r="C299" s="3" t="str">
        <x:v>info@vatancnc.com.tr</x:v>
      </x:c>
      <x:c r="D299" s="3" t="str">
        <x:v>‎0216 471 19 00</x:v>
      </x:c>
      <x:c r="E299" s="3" t="str">
        <x:v>TAM</x:v>
      </x:c>
      <x:c r="F299" s="3" t="str">
        <x:v>SİSTEM</x:v>
      </x:c>
      <x:c r="G299" s="3" t="str">
        <x:v>high</x:v>
      </x:c>
      <x:c r="H299" s="3" t="str">
        <x:v>100</x:v>
      </x:c>
      <x:c r="I299" s="3" t="str">
        <x:v>ESLESTI</x:v>
      </x:c>
      <x:c r="J299" s="3" t="str">
        <x:v>‎+90 216 471 19 00</x:v>
      </x:c>
      <x:c r="K299" s="8"/>
      <x:c r="L299" s="8" t="str">
        <x:v>https://vatancnc.com.tr</x:v>
      </x:c>
      <x:c r="M299" s="8" t="str">
        <x:v>https://vatancnc.com.tr</x:v>
      </x:c>
      <x:c r="N299" s="8" t="str">
        <x:v>https://www.maktekfuari.com/brand/vatan-cnc-takim-tezgahlari-san-tic-ltd-sti</x:v>
      </x:c>
      <x:c r="O299" s="3" t="str">
        <x:v>12</x:v>
      </x:c>
      <x:c r="P299" s="3" t="str">
        <x:v>1209</x:v>
      </x:c>
      <x:c r="Q299" s="8"/>
      <x:c r="R299" s="8" t="str">
        <x:v>Haitian Precision Machinery</x:v>
      </x:c>
    </x:row>
    <x:row r="300">
      <x:c r="A300" s="3" t="str">
        <x:v>VECTORMACH ENDÜSTRİ TEKNOLOJİ A.Ş.</x:v>
      </x:c>
      <x:c r="B300" s="3" t="str">
        <x:v>https://vectormach.com</x:v>
      </x:c>
      <x:c r="C300" s="3" t="str">
        <x:v>info@vectormach.com</x:v>
      </x:c>
      <x:c r="D300" s="3" t="str">
        <x:v>‎0554 395 15 06</x:v>
      </x:c>
      <x:c r="E300" s="3" t="str">
        <x:v>TAM</x:v>
      </x:c>
      <x:c r="F300" s="3" t="str">
        <x:v>SİSTEM</x:v>
      </x:c>
      <x:c r="G300" s="3" t="str">
        <x:v>high</x:v>
      </x:c>
      <x:c r="H300" s="3" t="str">
        <x:v>100</x:v>
      </x:c>
      <x:c r="I300" s="3" t="str">
        <x:v>FUAR_REFERANSI_YOK</x:v>
      </x:c>
      <x:c r="J300" s="3"/>
      <x:c r="K300" s="8"/>
      <x:c r="L300" s="8" t="str">
        <x:v>https://vectormach.com</x:v>
      </x:c>
      <x:c r="M300" s="8" t="str">
        <x:v>https://vectormach.com</x:v>
      </x:c>
      <x:c r="N300" s="8" t="str">
        <x:v>https://www.maktekfuari.com/brand/vectormach-endustri-teknoloji-as</x:v>
      </x:c>
      <x:c r="O300" s="3" t="str">
        <x:v>6</x:v>
      </x:c>
      <x:c r="P300" s="3" t="str">
        <x:v>604B</x:v>
      </x:c>
      <x:c r="Q300" s="8"/>
      <x:c r="R300" s="8"/>
    </x:row>
    <x:row r="301">
      <x:c r="A301" s="3" t="str">
        <x:v>VERA OTOMASYON MAKİNA SAN. VE DIŞ TİC. LTD. ŞTİ.</x:v>
      </x:c>
      <x:c r="B301" s="3" t="str">
        <x:v>https://veraotomasyon.com</x:v>
      </x:c>
      <x:c r="C301" s="3" t="str">
        <x:v>info@veraotomasyon.com</x:v>
      </x:c>
      <x:c r="D301" s="3" t="str">
        <x:v>‎0212 565 05 85</x:v>
      </x:c>
      <x:c r="E301" s="3" t="str">
        <x:v>TAM</x:v>
      </x:c>
      <x:c r="F301" s="3" t="str">
        <x:v>SİSTEM</x:v>
      </x:c>
      <x:c r="G301" s="3" t="str">
        <x:v>medium</x:v>
      </x:c>
      <x:c r="H301" s="3" t="str">
        <x:v>87</x:v>
      </x:c>
      <x:c r="I301" s="3" t="str">
        <x:v>FARKLI_RESMI_SITE_ONCELIKLI</x:v>
      </x:c>
      <x:c r="J301" s="3" t="str">
        <x:v>‎+90 545 230 02 50</x:v>
      </x:c>
      <x:c r="K301" s="8"/>
      <x:c r="L301" s="8" t="str">
        <x:v>https://veraotomasyon.com/iletisim/</x:v>
      </x:c>
      <x:c r="M301" s="8" t="str">
        <x:v>https://veraotomasyon.com</x:v>
      </x:c>
      <x:c r="N301" s="8" t="str">
        <x:v>https://www.maktekfuari.com/brand/vera-otomasyon-makina-san-ve-dis-tic-ltd-sti</x:v>
      </x:c>
      <x:c r="O301" s="3" t="str">
        <x:v>2</x:v>
      </x:c>
      <x:c r="P301" s="3" t="str">
        <x:v>222B</x:v>
      </x:c>
      <x:c r="Q301" s="8" t="str">
        <x:v>S.A.D.</x:v>
      </x:c>
      <x:c r="R301" s="8"/>
    </x:row>
    <x:row r="302">
      <x:c r="A302" s="11" t="str">
        <x:v>VEYSEL KÜTÜKLÜ MAK. SAN. VE TİC. A.Ş.</x:v>
      </x:c>
      <x:c r="B302" s="11" t="str">
        <x:v>https://www.vabs.com</x:v>
      </x:c>
      <x:c r="C302" s="11" t="str">
        <x:v>sales@vabs.com</x:v>
      </x:c>
      <x:c r="D302" s="11" t="str">
        <x:v>‎+90 505 055 88 46</x:v>
      </x:c>
      <x:c r="E302" s="11" t="str">
        <x:v>TAM</x:v>
      </x:c>
      <x:c r="F302" s="11" t="str">
        <x:v>MANUEL WEB DOĞRULAMA</x:v>
      </x:c>
      <x:c r="G302" s="11" t="str">
        <x:v>manual</x:v>
      </x:c>
      <x:c r="H302" s="11"/>
      <x:c r="I302" s="11" t="str">
        <x:v>FARKLI_RESMI_SITE_ONCELIKLI</x:v>
      </x:c>
      <x:c r="J302" s="11" t="str">
        <x:v>‎+90 531 640 29 59</x:v>
      </x:c>
      <x:c r="K302" s="12" t="str">
        <x:v>Resmî site üzerindeki ayırt edici marka/ticari unvan, Türkiye adresi veya fuar telefon eşleşmesiyle kimlik doğrulandı. İletişim yalnız doğrulanan resmî siteden alındı. Kimlik kanıtı: https://www.vabs.com/iletisim/</x:v>
      </x:c>
      <x:c r="L302" s="12" t="str">
        <x:v>https://www.vabs.com/iletisim/</x:v>
      </x:c>
      <x:c r="M302" s="12" t="str">
        <x:v>https://www.vabs.com/</x:v>
      </x:c>
      <x:c r="N302" s="12" t="str">
        <x:v>https://www.maktekfuari.com/brand/veysel-kutuklu-mak-san-ve-tic-as</x:v>
      </x:c>
      <x:c r="O302" s="11" t="str">
        <x:v>11, 12A</x:v>
      </x:c>
      <x:c r="P302" s="11" t="str">
        <x:v>1116B, 44B</x:v>
      </x:c>
      <x:c r="Q302" s="12" t="str">
        <x:v>VABS OVALAMA APARATLARI</x:v>
      </x:c>
      <x:c r="R302" s="12"/>
    </x:row>
    <x:row r="303">
      <x:c r="A303" s="3" t="str">
        <x:v>VİBROMAK YÜZEY İŞLEM TEK.SAN.VE TİC.LTD.ŞTİ.</x:v>
      </x:c>
      <x:c r="B303" s="3" t="str">
        <x:v>https://www.vibromak.com</x:v>
      </x:c>
      <x:c r="C303" s="3" t="str">
        <x:v>vibromak@vibromak.com</x:v>
      </x:c>
      <x:c r="D303" s="3" t="str">
        <x:v>‎0312 394 44 90</x:v>
      </x:c>
      <x:c r="E303" s="3" t="str">
        <x:v>TAM</x:v>
      </x:c>
      <x:c r="F303" s="3" t="str">
        <x:v>SİSTEM</x:v>
      </x:c>
      <x:c r="G303" s="3" t="str">
        <x:v>medium</x:v>
      </x:c>
      <x:c r="H303" s="3" t="str">
        <x:v>79</x:v>
      </x:c>
      <x:c r="I303" s="3" t="str">
        <x:v>ESLESTI</x:v>
      </x:c>
      <x:c r="J303" s="3" t="str">
        <x:v>‎+90 312 394 44 90</x:v>
      </x:c>
      <x:c r="K303" s="8"/>
      <x:c r="L303" s="8" t="str">
        <x:v>https://www.vibromak.com</x:v>
      </x:c>
      <x:c r="M303" s="8" t="str">
        <x:v>https://www.vibromak.com</x:v>
      </x:c>
      <x:c r="N303" s="8" t="str">
        <x:v>https://www.maktekfuari.com/brand/vibromak-yuzey-islem-teksanve-ticltdsti</x:v>
      </x:c>
      <x:c r="O303" s="3" t="str">
        <x:v>6</x:v>
      </x:c>
      <x:c r="P303" s="3" t="str">
        <x:v>619</x:v>
      </x:c>
      <x:c r="Q303" s="8"/>
      <x:c r="R303" s="8"/>
    </x:row>
    <x:row r="304">
      <x:c r="A304" s="3" t="str">
        <x:v>WELL MÜHENDİSLİK TALAŞLI İMALAT ÇÖZÜMLERİ MÜMESSİLLİK TİC. LTD. ŞTİ.</x:v>
      </x:c>
      <x:c r="B304" s="3" t="str">
        <x:v>https://www.wellmuhendislik.com</x:v>
      </x:c>
      <x:c r="C304" s="3" t="str">
        <x:v>info@wellmuhendislik.com</x:v>
      </x:c>
      <x:c r="D304" s="3" t="str">
        <x:v>‎0545 963 01 60</x:v>
      </x:c>
      <x:c r="E304" s="3" t="str">
        <x:v>TAM</x:v>
      </x:c>
      <x:c r="F304" s="3" t="str">
        <x:v>SİSTEM</x:v>
      </x:c>
      <x:c r="G304" s="3" t="str">
        <x:v>high</x:v>
      </x:c>
      <x:c r="H304" s="3" t="str">
        <x:v>100</x:v>
      </x:c>
      <x:c r="I304" s="3" t="str">
        <x:v>ESLESTI</x:v>
      </x:c>
      <x:c r="J304" s="3" t="str">
        <x:v>‎+90 531 366 31 23</x:v>
      </x:c>
      <x:c r="K304" s="8"/>
      <x:c r="L304" s="8" t="str">
        <x:v>https://www.wellmuhendislik.com</x:v>
      </x:c>
      <x:c r="M304" s="8" t="str">
        <x:v>https://www.wellmuhendislik.com/iletisim/</x:v>
      </x:c>
      <x:c r="N304" s="8" t="str">
        <x:v>https://www.maktekfuari.com/brand/well-muhendislik-talasli-imalat-cozumleri-mumessillik-tic-ltd-sti</x:v>
      </x:c>
      <x:c r="O304" s="3" t="str">
        <x:v>11</x:v>
      </x:c>
      <x:c r="P304" s="3" t="str">
        <x:v>1135</x:v>
      </x:c>
      <x:c r="Q304" s="8"/>
      <x:c r="R304" s="8" t="str">
        <x:v>ANDREAS MAIER GmbH &amp; Co. KG; RINGSPANN | Manufacturer of Power Transmission Components and Clamping Fixtures</x:v>
      </x:c>
    </x:row>
    <x:row r="305">
      <x:c r="A305" s="3" t="str">
        <x:v>WOM CNC MAKİNA TEKNOLOJILERI SAN. VE TİC. LTD. STİ.</x:v>
      </x:c>
      <x:c r="B305" s="3" t="str">
        <x:v>https://www.wom.com.tr</x:v>
      </x:c>
      <x:c r="C305" s="3" t="str">
        <x:v>info@wom.com.tr</x:v>
      </x:c>
      <x:c r="D305" s="3" t="str">
        <x:v>‎0536 520 61 24</x:v>
      </x:c>
      <x:c r="E305" s="3" t="str">
        <x:v>TAM</x:v>
      </x:c>
      <x:c r="F305" s="3" t="str">
        <x:v>SİSTEM</x:v>
      </x:c>
      <x:c r="G305" s="3" t="str">
        <x:v>high</x:v>
      </x:c>
      <x:c r="H305" s="3" t="str">
        <x:v>100</x:v>
      </x:c>
      <x:c r="I305" s="3" t="str">
        <x:v>FARKLI_RESMI_SITE_ONCELIKLI</x:v>
      </x:c>
      <x:c r="J305" s="3" t="str">
        <x:v>‎+90 535 557 53 36</x:v>
      </x:c>
      <x:c r="K305" s="8"/>
      <x:c r="L305" s="8" t="str">
        <x:v>https://www.wom.com.tr</x:v>
      </x:c>
      <x:c r="M305" s="8" t="str">
        <x:v>https://www.wom.com.tr</x:v>
      </x:c>
      <x:c r="N305" s="8" t="str">
        <x:v>https://www.maktekfuari.com/brand/wom-cnc-makina-teknolojileri-san-ve-tic-ltd-sti</x:v>
      </x:c>
      <x:c r="O305" s="3" t="str">
        <x:v>9</x:v>
      </x:c>
      <x:c r="P305" s="3" t="str">
        <x:v>907</x:v>
      </x:c>
      <x:c r="Q305" s="8" t="str">
        <x:v>WOM CNC MAKİNA TEKNOLOJİLERİ</x:v>
      </x:c>
      <x:c r="R305" s="8" t="str">
        <x:v>Detector France; Tsudakoma; TDG Clamping Solutions; SYIL</x:v>
      </x:c>
    </x:row>
    <x:row r="306">
      <x:c r="A306" s="11" t="str">
        <x:v>YAMASA YAZICI MAKİNA SAN. VE TİC. LTD. ŞTİ</x:v>
      </x:c>
      <x:c r="B306" s="11" t="str">
        <x:v>https://www.yamasa.com.tr</x:v>
      </x:c>
      <x:c r="C306" s="11"/>
      <x:c r="D306" s="11"/>
      <x:c r="E306" s="11" t="str">
        <x:v>KISMI</x:v>
      </x:c>
      <x:c r="F306" s="11" t="str">
        <x:v>MANUEL WEB DOĞRULAMA</x:v>
      </x:c>
      <x:c r="G306" s="11" t="str">
        <x:v>manual</x:v>
      </x:c>
      <x:c r="H306" s="11"/>
      <x:c r="I306" s="11" t="str">
        <x:v>TELEFON_YOK</x:v>
      </x:c>
      <x:c r="J306" s="11" t="str">
        <x:v>‎+90 232 257 53 35</x:v>
      </x:c>
      <x:c r="K306" s="12" t="str">
        <x:v>Resmî site üzerindeki ayırt edici marka/ticari unvan, Türkiye adresi veya fuar telefon eşleşmesiyle kimlik doğrulandı. İletişim yalnız doğrulanan resmî siteden alındı. Kimlik kanıtı: https://www.yamasa.com.tr/</x:v>
      </x:c>
      <x:c r="L306" s="12"/>
      <x:c r="M306" s="12"/>
      <x:c r="N306" s="12" t="str">
        <x:v>https://www.maktekfuari.com/brand/yamasa-yazici-makina-san-ve-tic-ltd-sti</x:v>
      </x:c>
      <x:c r="O306" s="11" t="str">
        <x:v>11</x:v>
      </x:c>
      <x:c r="P306" s="11" t="str">
        <x:v>1108</x:v>
      </x:c>
      <x:c r="Q306" s="12" t="str">
        <x:v>YAMASA; MİKROLER; MICROLLER; DIAMOND STAR</x:v>
      </x:c>
      <x:c r="R306" s="12"/>
    </x:row>
    <x:row r="307">
      <x:c r="A307" s="11" t="str">
        <x:v>YAMATO YAZICI MAKİNA TAKIM SAN VE TİC LTD ŞTİ</x:v>
      </x:c>
      <x:c r="B307" s="11" t="str">
        <x:v>https://www.yamato.com.tr</x:v>
      </x:c>
      <x:c r="C307" s="11"/>
      <x:c r="D307" s="11" t="str">
        <x:v>‎+90 232 472 28 88</x:v>
      </x:c>
      <x:c r="E307" s="11" t="str">
        <x:v>KISMI</x:v>
      </x:c>
      <x:c r="F307" s="11" t="str">
        <x:v>MANUEL WEB DOĞRULAMA</x:v>
      </x:c>
      <x:c r="G307" s="11" t="str">
        <x:v>manual</x:v>
      </x:c>
      <x:c r="H307" s="11"/>
      <x:c r="I307" s="11" t="str">
        <x:v>MANUEL_ESLESTI</x:v>
      </x:c>
      <x:c r="J307" s="11" t="str">
        <x:v>‎+90 232 472 28 88</x:v>
      </x:c>
      <x:c r="K307" s="12" t="str">
        <x:v>Resmî site üzerindeki ayırt edici marka/ticari unvan, Türkiye adresi veya fuar telefon eşleşmesiyle kimlik doğrulandı. İletişim yalnız doğrulanan resmî siteden alındı. Kimlik kanıtı: https://www.yamato.com.tr/</x:v>
      </x:c>
      <x:c r="L307" s="12"/>
      <x:c r="M307" s="12" t="str">
        <x:v>https://www.yamato.com.tr/</x:v>
      </x:c>
      <x:c r="N307" s="12" t="str">
        <x:v>https://www.maktekfuari.com/brand/yamato-yazici-makina-takim-san-ve-tic-ltd-sti</x:v>
      </x:c>
      <x:c r="O307" s="11" t="str">
        <x:v>12A</x:v>
      </x:c>
      <x:c r="P307" s="11" t="str">
        <x:v>09</x:v>
      </x:c>
      <x:c r="Q307" s="12"/>
      <x:c r="R307" s="12"/>
    </x:row>
    <x:row r="308">
      <x:c r="A308" s="11" t="str">
        <x:v>YAMAZAKİ MAZAK TURKEY MAKİNA LTD.ŞTİ.</x:v>
      </x:c>
      <x:c r="B308" s="11" t="str">
        <x:v>https://www.mazak.com/tr-tr/</x:v>
      </x:c>
      <x:c r="C308" s="11" t="str">
        <x:v>info@mazak.com.tr</x:v>
      </x:c>
      <x:c r="D308" s="11" t="str">
        <x:v>‎+90 216 309 21 00</x:v>
      </x:c>
      <x:c r="E308" s="11" t="str">
        <x:v>TAM</x:v>
      </x:c>
      <x:c r="F308" s="11" t="str">
        <x:v>MANUEL WEB DOĞRULAMA</x:v>
      </x:c>
      <x:c r="G308" s="11" t="str">
        <x:v>manual</x:v>
      </x:c>
      <x:c r="H308" s="11"/>
      <x:c r="I308" s="11" t="str">
        <x:v>FUAR_REFERANSI_YOK</x:v>
      </x:c>
      <x:c r="J308" s="11"/>
      <x:c r="K308" s="12" t="str">
        <x:v>Resmî site üzerindeki ayırt edici marka/ticari unvan, Türkiye adresi veya fuar telefon eşleşmesiyle kimlik doğrulandı. İletişim yalnız doğrulanan resmî siteden alındı. Kimlik kanıtı: https://www.mazak.com/eu-en/contact/find-your-local-mazak/istanbul-office/</x:v>
      </x:c>
      <x:c r="L308" s="12" t="str">
        <x:v>https://www.mazak.com/eu-en/contact/find-your-local-mazak/istanbul-office/</x:v>
      </x:c>
      <x:c r="M308" s="12" t="str">
        <x:v>https://www.mazak.com/eu-en/contact/find-your-local-mazak/istanbul-office/</x:v>
      </x:c>
      <x:c r="N308" s="12" t="str">
        <x:v>https://www.maktekfuari.com/brand/yamazaki-mazak-turkey-makina-ltdsti</x:v>
      </x:c>
      <x:c r="O308" s="11" t="str">
        <x:v>7</x:v>
      </x:c>
      <x:c r="P308" s="11" t="str">
        <x:v>702</x:v>
      </x:c>
      <x:c r="Q308" s="12"/>
      <x:c r="R308" s="12"/>
    </x:row>
    <x:row r="309">
      <x:c r="A309" s="3" t="str">
        <x:v>YAMER ENDÜSTRİYEL ÜRÜNLER TİC LTD ŞTİ</x:v>
      </x:c>
      <x:c r="B309" s="3" t="str">
        <x:v>https://www.yamer.com.tr</x:v>
      </x:c>
      <x:c r="C309" s="3" t="str">
        <x:v>info@yamer.com.tr</x:v>
      </x:c>
      <x:c r="D309" s="3" t="str">
        <x:v>‎0232 342 06 93</x:v>
      </x:c>
      <x:c r="E309" s="3" t="str">
        <x:v>TAM</x:v>
      </x:c>
      <x:c r="F309" s="3" t="str">
        <x:v>SİSTEM</x:v>
      </x:c>
      <x:c r="G309" s="3" t="str">
        <x:v>medium</x:v>
      </x:c>
      <x:c r="H309" s="3" t="str">
        <x:v>85</x:v>
      </x:c>
      <x:c r="I309" s="3" t="str">
        <x:v>ESLESTI</x:v>
      </x:c>
      <x:c r="J309" s="3" t="str">
        <x:v>‎+90 232 342 06 93</x:v>
      </x:c>
      <x:c r="K309" s="8"/>
      <x:c r="L309" s="8" t="str">
        <x:v>https://www.yamer.com.tr</x:v>
      </x:c>
      <x:c r="M309" s="8" t="str">
        <x:v>https://www.yamer.com.tr</x:v>
      </x:c>
      <x:c r="N309" s="8" t="str">
        <x:v>https://www.maktekfuari.com/brand/yamer-endustriyel-urunler-tic-ltd-sti</x:v>
      </x:c>
      <x:c r="O309" s="3" t="str">
        <x:v>11</x:v>
      </x:c>
      <x:c r="P309" s="3" t="str">
        <x:v>1121</x:v>
      </x:c>
      <x:c r="Q309" s="8" t="str">
        <x:v>Yamer</x:v>
      </x:c>
      <x:c r="R309" s="8" t="str">
        <x:v>Sylvac; TRIMOS SA; GILARDONI S.p.A; KB Prüftechnik GmbH; Kroeplin; Tschorn GmbH; Phynix GmbH; SmartVision S.r.l; Mark 10; Schwenk; Peacock; Danatronıcs; ULTRA PRÄZISION MESSZEUGE GMBH; Aberlink; Shining 3D; Accretech; Foerster; Renishaw; PCE Instruments; Schut; Teclock</x:v>
      </x:c>
    </x:row>
    <x:row r="310">
      <x:c r="A310" s="3" t="str">
        <x:v>YENASOFT YAZ. DON. VE DAN. SAN TİC LTD. ŞTİ.</x:v>
      </x:c>
      <x:c r="B310" s="3" t="str">
        <x:v>https://yenasoft.com</x:v>
      </x:c>
      <x:c r="C310" s="3" t="str">
        <x:v>info@yenasoft.com</x:v>
      </x:c>
      <x:c r="D310" s="3" t="str">
        <x:v>‎0216 577 67 77</x:v>
      </x:c>
      <x:c r="E310" s="3" t="str">
        <x:v>TAM</x:v>
      </x:c>
      <x:c r="F310" s="3" t="str">
        <x:v>SİSTEM</x:v>
      </x:c>
      <x:c r="G310" s="3" t="str">
        <x:v>high</x:v>
      </x:c>
      <x:c r="H310" s="3" t="str">
        <x:v>95</x:v>
      </x:c>
      <x:c r="I310" s="3" t="str">
        <x:v>FARKLI_RESMI_SITE_ONCELIKLI</x:v>
      </x:c>
      <x:c r="J310" s="3" t="str">
        <x:v>‎0216 677 67 77</x:v>
      </x:c>
      <x:c r="K310" s="8"/>
      <x:c r="L310" s="8" t="str">
        <x:v>https://yenasoft.com</x:v>
      </x:c>
      <x:c r="M310" s="8" t="str">
        <x:v>https://yenasoft.com</x:v>
      </x:c>
      <x:c r="N310" s="8" t="str">
        <x:v>https://www.maktekfuari.com/brand/yenasoft-yaz-don-ve-dan-san-tic-ltd-sti</x:v>
      </x:c>
      <x:c r="O310" s="3" t="str">
        <x:v>12</x:v>
      </x:c>
      <x:c r="P310" s="3" t="str">
        <x:v>1219</x:v>
      </x:c>
      <x:c r="Q310" s="8" t="str">
        <x:v>YENASOFT</x:v>
      </x:c>
      <x:c r="R310" s="8" t="str">
        <x:v>Dassault Systèmes SolidWorks Corporation</x:v>
      </x:c>
    </x:row>
    <x:row r="311">
      <x:c r="A311" s="3" t="str">
        <x:v>YILDIRIM CNC MAKİNA SAN. VE TİC. LTD. ŞTİ.</x:v>
      </x:c>
      <x:c r="B311" s="3" t="str">
        <x:v>https://yildirimmakina.net</x:v>
      </x:c>
      <x:c r="C311" s="3" t="str">
        <x:v>info@yildirimmakina.net</x:v>
      </x:c>
      <x:c r="D311" s="3" t="str">
        <x:v>‎0212 612 29 72</x:v>
      </x:c>
      <x:c r="E311" s="3" t="str">
        <x:v>TAM</x:v>
      </x:c>
      <x:c r="F311" s="3" t="str">
        <x:v>SİSTEM</x:v>
      </x:c>
      <x:c r="G311" s="3" t="str">
        <x:v>high</x:v>
      </x:c>
      <x:c r="H311" s="3" t="str">
        <x:v>95</x:v>
      </x:c>
      <x:c r="I311" s="3" t="str">
        <x:v>ESLESTI</x:v>
      </x:c>
      <x:c r="J311" s="3" t="str">
        <x:v>‎+90 532 401 32 04</x:v>
      </x:c>
      <x:c r="K311" s="8"/>
      <x:c r="L311" s="8" t="str">
        <x:v>https://yildirimmakina.net</x:v>
      </x:c>
      <x:c r="M311" s="8" t="str">
        <x:v>https://yildirimmakina.net</x:v>
      </x:c>
      <x:c r="N311" s="8" t="str">
        <x:v>https://www.maktekfuari.com/brand/yildirim-cnc-makina-san-ve-tic-ltd-sti</x:v>
      </x:c>
      <x:c r="O311" s="3" t="str">
        <x:v>5</x:v>
      </x:c>
      <x:c r="P311" s="3" t="str">
        <x:v>501A</x:v>
      </x:c>
      <x:c r="Q311" s="8" t="str">
        <x:v>HIGHTECH</x:v>
      </x:c>
      <x:c r="R311" s="8" t="str">
        <x:v>HIGHTECH</x:v>
      </x:c>
    </x:row>
    <x:row r="312">
      <x:c r="A312" s="3" t="str">
        <x:v>YILDIZ ODS MAKİNE SAN. VE TİC. LTD. ŞTİ.</x:v>
      </x:c>
      <x:c r="B312" s="3" t="str">
        <x:v>https://yildizods.com</x:v>
      </x:c>
      <x:c r="C312" s="3" t="str">
        <x:v>info@yildizods.com</x:v>
      </x:c>
      <x:c r="D312" s="3" t="str">
        <x:v>‎0224 452 04 00</x:v>
      </x:c>
      <x:c r="E312" s="3" t="str">
        <x:v>TAM</x:v>
      </x:c>
      <x:c r="F312" s="3" t="str">
        <x:v>SİSTEM</x:v>
      </x:c>
      <x:c r="G312" s="3" t="str">
        <x:v>high</x:v>
      </x:c>
      <x:c r="H312" s="3" t="str">
        <x:v>100</x:v>
      </x:c>
      <x:c r="I312" s="3" t="str">
        <x:v>ESLESTI</x:v>
      </x:c>
      <x:c r="J312" s="3" t="str">
        <x:v>‎+90 224 452 04 00</x:v>
      </x:c>
      <x:c r="K312" s="8"/>
      <x:c r="L312" s="8" t="str">
        <x:v>https://yildizods.com</x:v>
      </x:c>
      <x:c r="M312" s="8" t="str">
        <x:v>https://yildizods.com</x:v>
      </x:c>
      <x:c r="N312" s="8" t="str">
        <x:v>https://www.maktekfuari.com/brand/yildiz-ods-makine-san-ve-tic-ltd-sti</x:v>
      </x:c>
      <x:c r="O312" s="3" t="str">
        <x:v>11</x:v>
      </x:c>
      <x:c r="P312" s="3" t="str">
        <x:v>1138</x:v>
      </x:c>
      <x:c r="Q312" s="8" t="str">
        <x:v>YILDIZ ODS</x:v>
      </x:c>
      <x:c r="R312" s="8" t="str">
        <x:v>GERARDİ</x:v>
      </x:c>
    </x:row>
    <x:row r="313">
      <x:c r="A313" s="11" t="str">
        <x:v>YİNG HAN TEKNOLOJİ LTD. ŞTİ.</x:v>
      </x:c>
      <x:c r="B313" s="11" t="str">
        <x:v>https://www.ylm.com.tr/ https://www.hannsacnc.com</x:v>
      </x:c>
      <x:c r="C313" s="11" t="str">
        <x:v>ylmtr@ylm.com.tw</x:v>
      </x:c>
      <x:c r="D313" s="11" t="str">
        <x:v>‎+90 212 493 31 91</x:v>
      </x:c>
      <x:c r="E313" s="11" t="str">
        <x:v>TAM</x:v>
      </x:c>
      <x:c r="F313" s="11" t="str">
        <x:v>MANUEL WEB DOĞRULAMA</x:v>
      </x:c>
      <x:c r="G313" s="11" t="str">
        <x:v>manual</x:v>
      </x:c>
      <x:c r="H313" s="11"/>
      <x:c r="I313" s="11" t="str">
        <x:v>MANUEL_ESLESTI</x:v>
      </x:c>
      <x:c r="J313" s="11" t="str">
        <x:v>‎+90 212 493 31 91</x:v>
      </x:c>
      <x:c r="K313" s="12" t="str">
        <x:v>Resmî site üzerindeki ayırt edici marka/ticari unvan, Türkiye adresi veya fuar telefon eşleşmesiyle kimlik doğrulandı. İletişim yalnız doğrulanan resmî siteden alındı. Kimlik kanıtı: https://www.ylm.com.tr/iletisim</x:v>
      </x:c>
      <x:c r="L313" s="12" t="str">
        <x:v>https://www.ylm.com.tr/</x:v>
      </x:c>
      <x:c r="M313" s="12" t="str">
        <x:v>https://www.ylm.com.tr/</x:v>
      </x:c>
      <x:c r="N313" s="12" t="str">
        <x:v>https://www.maktekfuari.com/brand/ying-han-teknoloji-ltd-sti</x:v>
      </x:c>
      <x:c r="O313" s="11" t="str">
        <x:v>4</x:v>
      </x:c>
      <x:c r="P313" s="11" t="str">
        <x:v>408</x:v>
      </x:c>
      <x:c r="Q313" s="12" t="str">
        <x:v>HANNSA; YLM</x:v>
      </x:c>
      <x:c r="R313" s="12" t="str">
        <x:v>YING HAN TECHNOLOGY CO., LTD.</x:v>
      </x:c>
    </x:row>
    <x:row r="314">
      <x:c r="A314" s="3" t="str">
        <x:v>YÖRÜK HİDROLİK MAK İNŞ SAN TİC LTD ŞTİ</x:v>
      </x:c>
      <x:c r="B314" s="3" t="str">
        <x:v>https://www.yorukhidrolik.com</x:v>
      </x:c>
      <x:c r="C314" s="3" t="str">
        <x:v>info@yorukhidrolik.com</x:v>
      </x:c>
      <x:c r="D314" s="3" t="str">
        <x:v>‎0312 267 10 42</x:v>
      </x:c>
      <x:c r="E314" s="3" t="str">
        <x:v>TAM</x:v>
      </x:c>
      <x:c r="F314" s="3" t="str">
        <x:v>SİSTEM</x:v>
      </x:c>
      <x:c r="G314" s="3" t="str">
        <x:v>medium</x:v>
      </x:c>
      <x:c r="H314" s="3" t="str">
        <x:v>87</x:v>
      </x:c>
      <x:c r="I314" s="3" t="str">
        <x:v>FARKLI_RESMI_SITE_ONCELIKLI</x:v>
      </x:c>
      <x:c r="J314" s="3" t="str">
        <x:v>‎+90 533 566 58 20</x:v>
      </x:c>
      <x:c r="K314" s="8"/>
      <x:c r="L314" s="8" t="str">
        <x:v>https://www.yorukhidrolik.com/tr/page/kurumsal/20/kalite-politikamiz</x:v>
      </x:c>
      <x:c r="M314" s="8" t="str">
        <x:v>https://www.yorukhidrolik.com</x:v>
      </x:c>
      <x:c r="N314" s="8" t="str">
        <x:v>https://www.maktekfuari.com/brand/yoruk-hidrolik-mak-ins-san-tic-ltd-sti</x:v>
      </x:c>
      <x:c r="O314" s="3" t="str">
        <x:v>2</x:v>
      </x:c>
      <x:c r="P314" s="3" t="str">
        <x:v>209</x:v>
      </x:c>
      <x:c r="Q314" s="8"/>
      <x:c r="R314" s="8"/>
    </x:row>
    <x:row r="315">
      <x:c r="A315" s="11" t="str">
        <x:v>YSF MADEN METAL ENDÜSTRİ ÜRÜNLERİ LTD.ŞTİ</x:v>
      </x:c>
      <x:c r="B315" s="11" t="str">
        <x:v>https://www.alpelaser.com</x:v>
      </x:c>
      <x:c r="C315" s="11" t="str">
        <x:v>info@alpelaser.com</x:v>
      </x:c>
      <x:c r="D315" s="11"/>
      <x:c r="E315" s="11" t="str">
        <x:v>KISMI</x:v>
      </x:c>
      <x:c r="F315" s="11" t="str">
        <x:v>MANUEL WEB DOĞRULAMA</x:v>
      </x:c>
      <x:c r="G315" s="11" t="str">
        <x:v>manual</x:v>
      </x:c>
      <x:c r="H315" s="11"/>
      <x:c r="I315" s="11" t="str">
        <x:v>TELEFON_YOK</x:v>
      </x:c>
      <x:c r="J315" s="11" t="str">
        <x:v>‎+90 533 575 99 06</x:v>
      </x:c>
      <x:c r="K315" s="12" t="str">
        <x:v>Resmî site üzerindeki ayırt edici marka/ticari unvan, Türkiye adresi veya fuar telefon eşleşmesiyle kimlik doğrulandı. İletişim yalnız doğrulanan resmî siteden alındı. Kimlik kanıtı: https://alpelaser.com/iletisim/</x:v>
      </x:c>
      <x:c r="L315" s="12" t="str">
        <x:v>https://alpelaser.com/iletisim/</x:v>
      </x:c>
      <x:c r="M315" s="12"/>
      <x:c r="N315" s="12" t="str">
        <x:v>https://www.maktekfuari.com/brand/ysf-maden-metal-endustri-urunleri-ltdsti</x:v>
      </x:c>
      <x:c r="O315" s="11" t="str">
        <x:v>11A</x:v>
      </x:c>
      <x:c r="P315" s="11" t="str">
        <x:v>19</x:v>
      </x:c>
      <x:c r="Q315" s="12" t="str">
        <x:v>ALPE LASER CUT MACHINES</x:v>
      </x:c>
      <x:c r="R315" s="12"/>
    </x:row>
    <x:row r="316">
      <x:c r="A316" s="3" t="str">
        <x:v>YUNTES MAKİNE A.Ş.</x:v>
      </x:c>
      <x:c r="B316" s="3" t="str">
        <x:v>https://yuntes.com.tr</x:v>
      </x:c>
      <x:c r="C316" s="3" t="str">
        <x:v>info@yuntes.com.tr</x:v>
      </x:c>
      <x:c r="D316" s="3" t="str">
        <x:v>‎0212 674 05 80</x:v>
      </x:c>
      <x:c r="E316" s="3" t="str">
        <x:v>TAM</x:v>
      </x:c>
      <x:c r="F316" s="3" t="str">
        <x:v>SİSTEM</x:v>
      </x:c>
      <x:c r="G316" s="3" t="str">
        <x:v>high</x:v>
      </x:c>
      <x:c r="H316" s="3" t="str">
        <x:v>100</x:v>
      </x:c>
      <x:c r="I316" s="3" t="str">
        <x:v>FARKLI_RESMI_SITE_ONCELIKLI</x:v>
      </x:c>
      <x:c r="J316" s="3" t="str">
        <x:v>‎+90 554 405 84 69</x:v>
      </x:c>
      <x:c r="K316" s="8"/>
      <x:c r="L316" s="8" t="str">
        <x:v>https://yuntes.com.tr/en/contact-us/</x:v>
      </x:c>
      <x:c r="M316" s="8" t="str">
        <x:v>https://yuntes.com.tr/en/contact-us/</x:v>
      </x:c>
      <x:c r="N316" s="8" t="str">
        <x:v>https://www.maktekfuari.com/brand/yuntes-makine-as</x:v>
      </x:c>
      <x:c r="O316" s="3" t="str">
        <x:v>12</x:v>
      </x:c>
      <x:c r="P316" s="3" t="str">
        <x:v>1226</x:v>
      </x:c>
      <x:c r="Q316" s="8" t="str">
        <x:v>YUNTES MAKİNE</x:v>
      </x:c>
      <x:c r="R316" s="8" t="str">
        <x:v>WELE Mechatronic Co., Ltd</x:v>
      </x:c>
    </x:row>
    <x:row r="317">
      <x:c r="A317" s="3" t="str">
        <x:v>ZESZ MAKİNA ELEKTRONİK SAN. VE TİC. LTD. ŞTİ.</x:v>
      </x:c>
      <x:c r="B317" s="3" t="str">
        <x:v>https://www.zeszmach.com</x:v>
      </x:c>
      <x:c r="C317" s="3" t="str">
        <x:v>info@zeszmach.com</x:v>
      </x:c>
      <x:c r="D317" s="3" t="str">
        <x:v>‎0224 239 42 23</x:v>
      </x:c>
      <x:c r="E317" s="3" t="str">
        <x:v>TAM</x:v>
      </x:c>
      <x:c r="F317" s="3" t="str">
        <x:v>SİSTEM</x:v>
      </x:c>
      <x:c r="G317" s="3" t="str">
        <x:v>medium</x:v>
      </x:c>
      <x:c r="H317" s="3" t="str">
        <x:v>85</x:v>
      </x:c>
      <x:c r="I317" s="3" t="str">
        <x:v>FUAR_REFERANSI_YOK</x:v>
      </x:c>
      <x:c r="J317" s="3"/>
      <x:c r="K317" s="8"/>
      <x:c r="L317" s="8" t="str">
        <x:v>https://www.zeszmach.com</x:v>
      </x:c>
      <x:c r="M317" s="8" t="str">
        <x:v>https://www.zeszmach.com</x:v>
      </x:c>
      <x:c r="N317" s="8" t="str">
        <x:v>https://www.maktekfuari.com/brand/zesz-makina-elektronik-san-ve-tic-ltd-sti</x:v>
      </x:c>
      <x:c r="O317" s="3" t="str">
        <x:v>11A</x:v>
      </x:c>
      <x:c r="P317" s="3" t="str">
        <x:v>07</x:v>
      </x:c>
      <x:c r="Q317" s="8"/>
      <x:c r="R317" s="8"/>
    </x:row>
    <x:row r="318">
      <x:c r="A318" s="11" t="str">
        <x:v>ZÜMRE MAKİNA İMALAT SANAYİ DIŞ TİCARET LİMİTED ŞİRKETİ</x:v>
      </x:c>
      <x:c r="B318" s="11" t="str">
        <x:v>https://www.zumretools.com.tr/</x:v>
      </x:c>
      <x:c r="C318" s="11"/>
      <x:c r="D318" s="11" t="str">
        <x:v>‎+90 539 705 79 31</x:v>
      </x:c>
      <x:c r="E318" s="11" t="str">
        <x:v>KISMI</x:v>
      </x:c>
      <x:c r="F318" s="11" t="str">
        <x:v>MANUEL WEB DOĞRULAMA</x:v>
      </x:c>
      <x:c r="G318" s="11" t="str">
        <x:v>manual</x:v>
      </x:c>
      <x:c r="H318" s="11"/>
      <x:c r="I318" s="11" t="str">
        <x:v>FARKLI_RESMI_SITE_ONCELIKLI</x:v>
      </x:c>
      <x:c r="J318" s="11" t="str">
        <x:v>‎+90 545 205 19 65</x:v>
      </x:c>
      <x:c r="K318" s="12" t="str">
        <x:v>Resmî site üzerindeki ayırt edici marka/ticari unvan, Türkiye adresi veya fuar telefon eşleşmesiyle kimlik doğrulandı. İletişim yalnız doğrulanan resmî siteden alındı. Kimlik kanıtı: https://www.zumretools.com.tr/</x:v>
      </x:c>
      <x:c r="L318" s="12"/>
      <x:c r="M318" s="12" t="str">
        <x:v>https://www.zumretools.com.tr/</x:v>
      </x:c>
      <x:c r="N318" s="12" t="str">
        <x:v>https://www.maktekfuari.com/brand/zumre-makina-imalat-sanayi-dis-ticaret-limited-sirketi</x:v>
      </x:c>
      <x:c r="O318" s="11" t="str">
        <x:v>12A</x:v>
      </x:c>
      <x:c r="P318" s="11" t="str">
        <x:v>12</x:v>
      </x:c>
      <x:c r="Q318" s="12" t="str">
        <x:v>Karl Schüssler GmbH &amp; Co. KG; Kemmer Hartmetallwerkzeuge GmbH; Diatool Präzisionswerkzeug GmbH; LMT TOOLS</x:v>
      </x:c>
      <x:c r="R318" s="12" t="str">
        <x:v>Karl Schüssler GmbH &amp; Co. KG; Diatool Präzisionswerkzeug GmbH; Kemmer Hartmetallwerkzeuge GmbH; Johs. Boss GmbH &amp; Co. KG; LMT Tool Systems GmbH &amp; Co. KG</x:v>
      </x:c>
    </x:row>
    <x:row r="319">
      <x:c r="A319" s="9" t="str">
        <x:v>ZÜMRESOFT YAZILIM HİZMETLERİ LTD. ŞTİ</x:v>
      </x:c>
      <x:c r="B319" s="9" t="str">
        <x:v>https://www.zumresoft.com</x:v>
      </x:c>
      <x:c r="C319" s="9" t="str">
        <x:v>info@zumresoft.com</x:v>
      </x:c>
      <x:c r="D319" s="9" t="str">
        <x:v>‎0541 714 13 04</x:v>
      </x:c>
      <x:c r="E319" s="9" t="str">
        <x:v>TAM</x:v>
      </x:c>
      <x:c r="F319" s="9" t="str">
        <x:v>SİSTEM</x:v>
      </x:c>
      <x:c r="G319" s="9" t="str">
        <x:v>medium</x:v>
      </x:c>
      <x:c r="H319" s="9" t="str">
        <x:v>79</x:v>
      </x:c>
      <x:c r="I319" s="9" t="str">
        <x:v>ESLESTI</x:v>
      </x:c>
      <x:c r="J319" s="9" t="str">
        <x:v>‎+90 541 714 13 04</x:v>
      </x:c>
      <x:c r="K319" s="10"/>
      <x:c r="L319" s="10" t="str">
        <x:v>https://www.zumresoft.com</x:v>
      </x:c>
      <x:c r="M319" s="10" t="str">
        <x:v>https://www.zumresoft.com</x:v>
      </x:c>
      <x:c r="N319" s="10" t="str">
        <x:v>https://www.maktekfuari.com/brand/zumresoft-yazilim-hizmetleri-ltd-sti</x:v>
      </x:c>
      <x:c r="O319" s="9" t="str">
        <x:v>12A</x:v>
      </x:c>
      <x:c r="P319" s="9" t="str">
        <x:v>08</x:v>
      </x:c>
      <x:c r="Q319" s="10"/>
      <x:c r="R319" s="10"/>
    </x:row>
  </x:sheetData>
  <x:pageMargins left="0.7" right="0.7" top="0.75" bottom="0.75" header="0.3" footer="0.3"/>
  <x:tableParts count="1">
    <x:tablePart xmlns:r="http://schemas.openxmlformats.org/officeDocument/2006/relationships" r:id="R5bf3f53688474cb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0" hidden="0" customWidth="1"/>
    <x:col min="5" max="5" width="17" hidden="0" customWidth="1"/>
    <x:col min="6" max="6" width="23" hidden="0" customWidth="1"/>
    <x:col min="7" max="7" width="12" hidden="0" customWidth="1"/>
    <x:col min="8" max="8" width="10" hidden="0" customWidth="1"/>
    <x:col min="9" max="9" width="26" hidden="0" customWidth="1"/>
    <x:col min="10" max="10" width="22" hidden="0" customWidth="1"/>
    <x:col min="11" max="11" width="52" hidden="0" customWidth="1"/>
    <x:col min="12" max="12" width="42" hidden="0" customWidth="1"/>
    <x:col min="13" max="13" width="42" hidden="0" customWidth="1"/>
    <x:col min="14" max="14" width="52" hidden="0" customWidth="1"/>
    <x:col min="15" max="15" width="10" hidden="0" customWidth="1"/>
    <x:col min="16" max="16" width="12" hidden="0" customWidth="1"/>
    <x:col min="17" max="17" width="30" hidden="0" customWidth="1"/>
    <x:col min="18" max="18" width="34" hidden="0" customWidth="1"/>
  </x:cols>
  <x:sheetData>
    <x:row r="1" ht="30" customHeight="1">
      <x:c r="A1" s="7" t="str">
        <x:v>Firma</x:v>
      </x:c>
      <x:c r="B1" s="7" t="str">
        <x:v>Doğrulanmış web sitesi</x:v>
      </x:c>
      <x:c r="C1" s="7" t="str">
        <x:v>E-posta</x:v>
      </x:c>
      <x:c r="D1" s="7" t="str">
        <x:v>Telefon</x:v>
      </x:c>
      <x:c r="E1" s="7" t="str">
        <x:v>İletişim kapsamı</x:v>
      </x:c>
      <x:c r="F1" s="7" t="str">
        <x:v>Doğrulama türü</x:v>
      </x:c>
      <x:c r="G1" s="7" t="str">
        <x:v>Güven</x:v>
      </x:c>
      <x:c r="H1" s="7" t="str">
        <x:v>Skor</x:v>
      </x:c>
      <x:c r="I1" s="7" t="str">
        <x:v>Telefon kontrolü</x:v>
      </x:c>
      <x:c r="J1" s="7" t="str">
        <x:v>Fuar telefon referansı</x:v>
      </x:c>
      <x:c r="K1" s="7" t="str">
        <x:v>Karar notu</x:v>
      </x:c>
      <x:c r="L1" s="7" t="str">
        <x:v>E-posta kanıt sayfası</x:v>
      </x:c>
      <x:c r="M1" s="7" t="str">
        <x:v>Telefon kanıt sayfası</x:v>
      </x:c>
      <x:c r="N1" s="7" t="str">
        <x:v>Fuar profil sayfası</x:v>
      </x:c>
      <x:c r="O1" s="7" t="str">
        <x:v>Salon</x:v>
      </x:c>
      <x:c r="P1" s="7" t="str">
        <x:v>Stant</x:v>
      </x:c>
      <x:c r="Q1" s="7" t="str">
        <x:v>Markalar</x:v>
      </x:c>
      <x:c r="R1" s="7" t="str">
        <x:v>Temsilcilikler</x:v>
      </x:c>
    </x:row>
  </x:sheetData>
  <x:pageMargins left="0.7" right="0.7" top="0.75" bottom="0.75" header="0.3" footer="0.3"/>
  <x:tableParts count="1">
    <x:tablePart xmlns:r="http://schemas.openxmlformats.org/officeDocument/2006/relationships" r:id="Rd685ac8b420349f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5" hidden="0" customWidth="1"/>
    <x:col min="3" max="3" width="34" hidden="0" customWidth="1"/>
    <x:col min="4" max="4" width="34" hidden="0" customWidth="1"/>
    <x:col min="5" max="5" width="28" hidden="0" customWidth="1"/>
    <x:col min="6" max="6" width="20" hidden="0" customWidth="1"/>
    <x:col min="7" max="7" width="22" hidden="0" customWidth="1"/>
    <x:col min="8" max="8" width="29" hidden="0" customWidth="1"/>
    <x:col min="9" max="9" width="10" hidden="0" customWidth="1"/>
    <x:col min="10" max="10" width="70" hidden="0" customWidth="1"/>
    <x:col min="11" max="11" width="70" hidden="0" customWidth="1"/>
    <x:col min="12" max="12" width="26" hidden="0" customWidth="1"/>
    <x:col min="13" max="13" width="44" hidden="0" customWidth="1"/>
    <x:col min="14" max="14" width="52" hidden="0" customWidth="1"/>
    <x:col min="15" max="15" width="10" hidden="0" customWidth="1"/>
    <x:col min="16" max="16" width="12" hidden="0" customWidth="1"/>
  </x:cols>
  <x:sheetData>
    <x:row r="1" ht="30" customHeight="1">
      <x:c r="A1" s="7" t="str">
        <x:v>Firma</x:v>
      </x:c>
      <x:c r="B1" s="7" t="str">
        <x:v>Durum</x:v>
      </x:c>
      <x:c r="C1" s="7" t="str">
        <x:v>Aday / bulunan web sitesi</x:v>
      </x:c>
      <x:c r="D1" s="7" t="str">
        <x:v>Birinci aday</x:v>
      </x:c>
      <x:c r="E1" s="7" t="str">
        <x:v>E-posta</x:v>
      </x:c>
      <x:c r="F1" s="7" t="str">
        <x:v>Telefon</x:v>
      </x:c>
      <x:c r="G1" s="7" t="str">
        <x:v>Fuar telefon referansı</x:v>
      </x:c>
      <x:c r="H1" s="7" t="str">
        <x:v>Kök neden</x:v>
      </x:c>
      <x:c r="I1" s="7" t="str">
        <x:v>Öncelik</x:v>
      </x:c>
      <x:c r="J1" s="7" t="str">
        <x:v>Teknik neden</x:v>
      </x:c>
      <x:c r="K1" s="7" t="str">
        <x:v>Önerilen kontrol</x:v>
      </x:c>
      <x:c r="L1" s="7" t="str">
        <x:v>Manuel karar</x:v>
      </x:c>
      <x:c r="M1" s="7" t="str">
        <x:v>Manuel not</x:v>
      </x:c>
      <x:c r="N1" s="7" t="str">
        <x:v>Fuar profil sayfası</x:v>
      </x:c>
      <x:c r="O1" s="7" t="str">
        <x:v>Salon</x:v>
      </x:c>
      <x:c r="P1" s="7" t="str">
        <x:v>Stant</x:v>
      </x:c>
    </x:row>
    <x:row r="2">
      <x:c r="A2" s="3" t="str">
        <x:v>3B DİZAYN BİLGİSAYAR MAKİNA KALIP MODEL TAS. SAN. VE TİC. LTD. ŞTİ.</x:v>
      </x:c>
      <x:c r="B2" s="3" t="str">
        <x:v>MANUAL_REVIEWED_HOLD</x:v>
      </x:c>
      <x:c r="C2" s="3"/>
      <x:c r="D2" s="3" t="str">
        <x:v>https://www.topsolid.com/tr</x:v>
      </x:c>
      <x:c r="E2" s="3"/>
      <x:c r="F2" s="3"/>
      <x:c r="G2" s="3" t="str">
        <x:v>‎+90 216 470 06 80</x:v>
      </x:c>
      <x:c r="H2" s="3" t="str">
        <x:v>SAHİPLİK KANITI YETERSİZ</x:v>
      </x:c>
      <x:c r="I2" s="3" t="str">
        <x:v>A</x:v>
      </x:c>
      <x:c r="J2" s="8" t="str">
        <x:v>input_website; page_identity_weak:3/7; context_match:1/1; no_email; structured_identity_unmatched:0/7; legal_name_phrase_missing:0/4; country_identity_unproven; no_tr_contact_or_usable_email; identity_evidence:1;decision:conflict; website_identity_not_independently_verified</x:v>
      </x:c>
      <x:c r="K2" s="8" t="str">
        <x:v>Aday sitede ticari unvanı; yoksa aynı marka ile adres/telefon/KVKK/mesafeli satış gibi birinci taraf sahiplik kanıtını bul.</x:v>
      </x:c>
      <x:c r="L2" s="19" t="str">
        <x:v>KANIT YETERSİZ</x:v>
      </x:c>
      <x:c r="M2" s="20" t="str">
        <x:v>Global TopSolid sitesi 3B Dizayn'ın Türkiye resmî satıcısı veya site sahibi olduğunu birinci taraf içerikte göstermedi; yayımlanmadı.</x:v>
      </x:c>
      <x:c r="N2" s="8" t="str">
        <x:v>https://www.maktekfuari.com/brand/3b-dizayn-bilgisayar-makina-kalip-model-tas-san-ve-tic-ltd-sti</x:v>
      </x:c>
      <x:c r="O2" s="3" t="str">
        <x:v>12</x:v>
      </x:c>
      <x:c r="P2" s="3" t="str">
        <x:v>1220 A</x:v>
      </x:c>
    </x:row>
    <x:row r="3">
      <x:c r="A3" s="3" t="str">
        <x:v>AGP ENERJİ MÜH. İNŞ. TAAH. SAN. VE TİC. A.Ş.</x:v>
      </x:c>
      <x:c r="B3" s="3" t="str">
        <x:v>MANUAL_REVIEWED_HOLD</x:v>
      </x:c>
      <x:c r="C3" s="3"/>
      <x:c r="D3" s="3" t="str">
        <x:v>https://agpenerji.com</x:v>
      </x:c>
      <x:c r="E3" s="3"/>
      <x:c r="F3" s="3"/>
      <x:c r="G3" s="3"/>
      <x:c r="H3" s="3" t="str">
        <x:v>SAHİPLİK KANITI YETERSİZ</x:v>
      </x:c>
      <x:c r="I3" s="3" t="str">
        <x:v>A</x:v>
      </x:c>
      <x:c r="J3" s="8" t="str">
        <x:v>search_text_identity:1/5; rank_bonus:8; query_trust_bonus:10; rank:1; query_evidence:4; consensus_bonus:8; metadata_context_matches:0; metadata_context_bonus:0; candidate_role:unknown; role_penalty:0; page_identity_strong:4/5; context_match:1/1; email_domain_match; structured_identity_absent; legal_name_phrase_missing:0/4; country_identity_tr_tld; identity_evidence:1;decision:insufficient_independent_support; website_identity_not_independently_verified</x:v>
      </x:c>
      <x:c r="K3" s="8" t="str">
        <x:v>Aday sitede ticari unvanı; yoksa aynı marka ile adres/telefon/KVKK/mesafeli satış gibi birinci taraf sahiplik kanıtını bul.</x:v>
      </x:c>
      <x:c r="L3" s="19" t="str">
        <x:v>YENİDEN TARA</x:v>
      </x:c>
      <x:c r="M3" s="20" t="str">
        <x:v>agpenerji.com bu kontrolde açılamadı; sahiplik ve iletişim kanıtı alınamadı.</x:v>
      </x:c>
      <x:c r="N3" s="8" t="str">
        <x:v>https://www.maktekfuari.com/brand/agp-enerji-muh-ins-taah-san-ve-tic-as</x:v>
      </x:c>
      <x:c r="O3" s="3" t="str">
        <x:v>9</x:v>
      </x:c>
      <x:c r="P3" s="3" t="str">
        <x:v>912</x:v>
      </x:c>
    </x:row>
    <x:row r="4">
      <x:c r="A4" s="3" t="str">
        <x:v>AIRON ENDÜSTRİ MAKİNA SANAYİ VE TİCARET LİMİTED ŞİRKETİ</x:v>
      </x:c>
      <x:c r="B4" s="3" t="str">
        <x:v>MANUAL_WRONG_CANDIDATE</x:v>
      </x:c>
      <x:c r="C4" s="3"/>
      <x:c r="D4" s="3" t="str">
        <x:v>https://airon.com.tr</x:v>
      </x:c>
      <x:c r="E4" s="3"/>
      <x:c r="F4" s="3"/>
      <x:c r="G4" s="3"/>
      <x:c r="H4" s="3" t="str">
        <x:v>SAHİPLİK KANITI YETERSİZ</x:v>
      </x:c>
      <x:c r="I4" s="3" t="str">
        <x:v>A</x:v>
      </x:c>
      <x:c r="J4" s="8" t="str">
        <x:v>search_text_identity:1/2; rank_bonus:0; query_trust_bonus:6; rank:7; query_evidence:1; consensus_bonus:0; metadata_context_matches:1; metadata_context_bonus:8; candidate_role:unknown; role_penalty:0; page_identity_medium:1/2@scope=public_brand,pages=3; context_match:1/1; email_domain_match; structured_identity_absent; legal_name_phrase_missing:0/3; country_identity_unproven; identity_evidence:1;decision:conflict; website_identity_not_independently_verified</x:v>
      </x:c>
      <x:c r="K4" s="8" t="str">
        <x:v>Aday sitede ticari unvanı; yoksa aynı marka ile adres/telefon/KVKK/mesafeli satış gibi birinci taraf sahiplik kanıtını bul.</x:v>
      </x:c>
      <x:c r="L4" s="19" t="str">
        <x:v>YANLIŞ FİRMA</x:v>
      </x:c>
      <x:c r="M4" s="20" t="str">
        <x:v>airon.com.tr endüstri makinesi şirketi değil, lojistik şirketidir; homonim aday reddedildi.</x:v>
      </x:c>
      <x:c r="N4" s="8" t="str">
        <x:v>https://www.maktekfuari.com/brand/airon-endustri-makina-sanayi-ve-ticaret-limited-sirketi</x:v>
      </x:c>
      <x:c r="O4" s="3" t="str">
        <x:v>12A</x:v>
      </x:c>
      <x:c r="P4" s="3" t="str">
        <x:v>43</x:v>
      </x:c>
    </x:row>
    <x:row r="5">
      <x:c r="A5" s="3" t="str">
        <x:v>ANCA TURKEY CNC MAKİNE LTD.ŞTİ.</x:v>
      </x:c>
      <x:c r="B5" s="3" t="str">
        <x:v>MANUAL_REVIEWED_HOLD</x:v>
      </x:c>
      <x:c r="C5" s="3"/>
      <x:c r="D5" s="3" t="str">
        <x:v>https://anca.com</x:v>
      </x:c>
      <x:c r="E5" s="3"/>
      <x:c r="F5" s="3"/>
      <x:c r="G5" s="3" t="str">
        <x:v>‎+90 212 970 13 10</x:v>
      </x:c>
      <x:c r="H5" s="3" t="str">
        <x:v>SAHİPLİK KANITI YETERSİZ</x:v>
      </x:c>
      <x:c r="I5" s="3" t="str">
        <x:v>A</x:v>
      </x:c>
      <x:c r="J5" s="8" t="str">
        <x:v>input_website; page_identity_medium:2/3; context_match:3/3; email_domain_match; structured_identity_urls_only; legal_name_phrase_missing:0/4; country_identity_unproven; identity_evidence:2;decision:conflict; website_identity_not_independently_verified</x:v>
      </x:c>
      <x:c r="K5" s="8" t="str">
        <x:v>Aday sitede ticari unvanı; yoksa aynı marka ile adres/telefon/KVKK/mesafeli satış gibi birinci taraf sahiplik kanıtını bul.</x:v>
      </x:c>
      <x:c r="L5" s="19" t="str">
        <x:v>KANIT YETERSİZ</x:v>
      </x:c>
      <x:c r="M5" s="20" t="str">
        <x:v>Global ANCA sitesi Türkiye tüzel kişisini ve yerel iletişim bağını göstermedi; yalnız global marka kanıtı yeterli görülmedi.</x:v>
      </x:c>
      <x:c r="N5" s="8" t="str">
        <x:v>https://www.maktekfuari.com/brand/anca-turkey-cnc-makine-ltdsti</x:v>
      </x:c>
      <x:c r="O5" s="3" t="str">
        <x:v>11</x:v>
      </x:c>
      <x:c r="P5" s="3" t="str">
        <x:v>1115</x:v>
      </x:c>
    </x:row>
    <x:row r="6">
      <x:c r="A6" s="3" t="str">
        <x:v>ATLAS CNC MAKİNA TİCARET AŞ</x:v>
      </x:c>
      <x:c r="B6" s="3" t="str">
        <x:v>MANUAL_REVIEWED_HOLD</x:v>
      </x:c>
      <x:c r="C6" s="3" t="str">
        <x:v>https://www.atlascnc.com</x:v>
      </x:c>
      <x:c r="D6" s="3" t="str">
        <x:v>https://www.atlascnc.com</x:v>
      </x:c>
      <x:c r="E6" s="3"/>
      <x:c r="F6" s="3" t="str">
        <x:v>‎0212 671 71 01</x:v>
      </x:c>
      <x:c r="G6" s="3" t="str">
        <x:v>‎+90 212 671 71 01</x:v>
      </x:c>
      <x:c r="H6" s="3" t="str">
        <x:v>İLETİŞİM KANITI EKSİK</x:v>
      </x:c>
      <x:c r="I6" s="3" t="str">
        <x:v>A</x:v>
      </x:c>
      <x:c r="J6" s="8" t="str">
        <x:v>input_website; page_identity_strong:3/3; context_match:2/2; no_email; structured_identity_urls_only; legal_name_full_match:3; country_identity_tr_phone; ambiguous_name_risk_cap; identity_evidence:3;decision:verified; needs_manual_review</x:v>
      </x:c>
      <x:c r="K6" s="8" t="str">
        <x:v>Resmî sitenin iletişim/footer/KVKK sayfalarını kontrol et; yalnız aynı resmî site üzerinde yayımlanan iletişimi kabul et.</x:v>
      </x:c>
      <x:c r="L6" s="19" t="str">
        <x:v>KANIT YETERSİZ</x:v>
      </x:c>
      <x:c r="M6" s="20" t="str">
        <x:v>Resmî site başlığında A.Ş., iletişim/footer alanında Ltd. Şti. yazıyor; şirket türü çelişkisi çözülmeden yayımlanmadı.</x:v>
      </x:c>
      <x:c r="N6" s="8" t="str">
        <x:v>https://www.maktekfuari.com/brand/atlas-cnc-makina-ticaret-as</x:v>
      </x:c>
      <x:c r="O6" s="3" t="str">
        <x:v>3</x:v>
      </x:c>
      <x:c r="P6" s="3" t="str">
        <x:v>310</x:v>
      </x:c>
    </x:row>
    <x:row r="7">
      <x:c r="A7" s="3" t="str">
        <x:v>BACA MÜHENDİSLİK AŞ</x:v>
      </x:c>
      <x:c r="B7" s="3" t="str">
        <x:v>MANUAL_REVIEWED_HOLD</x:v>
      </x:c>
      <x:c r="C7" s="3" t="str">
        <x:v>https://enosad.org.tr</x:v>
      </x:c>
      <x:c r="D7" s="3" t="str">
        <x:v>https://www.bacamakine.com</x:v>
      </x:c>
      <x:c r="E7" s="3"/>
      <x:c r="F7" s="3" t="str">
        <x:v>‎0216 469 46 96</x:v>
      </x:c>
      <x:c r="G7" s="3"/>
      <x:c r="H7" s="3" t="str">
        <x:v>İLETİŞİM KANITI EKSİK</x:v>
      </x:c>
      <x:c r="I7" s="3" t="str">
        <x:v>A</x:v>
      </x:c>
      <x:c r="J7" s="8" t="str">
        <x:v>search_text_identity:1/2; search_legal_name_identity:2; rank_bonus:4; query_trust_bonus:6; rank:3; query_evidence:4; consensus_bonus:8; metadata_context_matches:0; metadata_context_bonus:0; candidate_role:unknown; role_penalty:0; page_identity_strong:2/2; context_match:1/1; no_email; structured_identity_absent; legal_name_phrase_match:2; country_identity_tr_tld; ambiguous_name_risk_cap; identity_evidence:1;decision:strong_first_party_needs_uniqueness; needs_manual_review</x:v>
      </x:c>
      <x:c r="K7" s="8" t="str">
        <x:v>Resmî sitenin iletişim/footer/KVKK sayfalarını kontrol et; yalnız aynı resmî site üzerinde yayımlanan iletişimi kabul et.</x:v>
      </x:c>
      <x:c r="L7" s="19" t="str">
        <x:v>KANIT YETERSİZ</x:v>
      </x:c>
      <x:c r="M7" s="20" t="str">
        <x:v>Aday sitenin footer unvanı Baca Makine Mühendislik ... Ltd. Şti.; fuar kaydındaki Baca Mühendislik A.Ş. ile şirket sahibi/türü uyuşmuyor.</x:v>
      </x:c>
      <x:c r="N7" s="8" t="str">
        <x:v>https://www.maktekfuari.com/brand/baca-muhendislik-as</x:v>
      </x:c>
      <x:c r="O7" s="3" t="str">
        <x:v>12A</x:v>
      </x:c>
      <x:c r="P7" s="3" t="str">
        <x:v>58B</x:v>
      </x:c>
    </x:row>
    <x:row r="8">
      <x:c r="A8" s="3" t="str">
        <x:v>BEM MAKİNE MÜHENDİSLİK DIŞ TİCARET PAZARLAMA SANAYİ VE TİCARET LİMİTED ŞİRKETİ</x:v>
      </x:c>
      <x:c r="B8" s="3" t="str">
        <x:v>MANUAL_REVIEWED_HOLD</x:v>
      </x:c>
      <x:c r="C8" s="3"/>
      <x:c r="D8" s="3" t="str">
        <x:v>https://www.bemcnc.com.tr</x:v>
      </x:c>
      <x:c r="E8" s="3"/>
      <x:c r="F8" s="3"/>
      <x:c r="G8" s="3" t="str">
        <x:v>‎+90 532 223 86 53</x:v>
      </x:c>
      <x:c r="H8" s="3" t="str">
        <x:v>TİCARİ UNVAN BAĞLANTISI EKSİK</x:v>
      </x:c>
      <x:c r="I8" s="3" t="str">
        <x:v>A</x:v>
      </x:c>
      <x:c r="J8" s="8" t="str">
        <x:v>input_website; page_identity_medium:1/2@scope=public_brand,pages=2; metadata_context_missing:0/1; email_domain_match; structured_identity_urls_only; legal_name_phrase_missing:0/4; country_identity_tr_tld; tls_insecure_transport; ambiguous_name_risk_cap; context_gate_failed; identity_evidence:2;decision:conflict</x:v>
      </x:c>
      <x:c r="K8" s="8" t="str">
        <x:v>Hakkımızda, iletişim, KVKK ve footer sayfalarında marka–ticari unvan bağını veya aynı adres/telefonu doğrula.</x:v>
      </x:c>
      <x:c r="L8" s="19" t="str">
        <x:v>YENİDEN TARA</x:v>
      </x:c>
      <x:c r="M8" s="20" t="str">
        <x:v>bemcnc.com.tr bu kontrolde açılamadı; resmî sahiplik ve iletişim kanıtı alınamadı.</x:v>
      </x:c>
      <x:c r="N8" s="8" t="str">
        <x:v>https://www.maktekfuari.com/brand/bem-makine-muhendislik-dis-ticaret-pazarlama-sanayi-ve-ticaret-limited-sirketi</x:v>
      </x:c>
      <x:c r="O8" s="3" t="str">
        <x:v>10</x:v>
      </x:c>
      <x:c r="P8" s="3" t="str">
        <x:v>1008</x:v>
      </x:c>
    </x:row>
    <x:row r="9">
      <x:c r="A9" s="3" t="str">
        <x:v>BODOR LASER TURKEY MAKİNA TİCARET LİMİTED ŞİRKETİ</x:v>
      </x:c>
      <x:c r="B9" s="3" t="str">
        <x:v>MANUAL_REVIEWED_HOLD</x:v>
      </x:c>
      <x:c r="C9" s="3"/>
      <x:c r="D9" s="3" t="str">
        <x:v>https://www.bodor.com</x:v>
      </x:c>
      <x:c r="E9" s="3"/>
      <x:c r="F9" s="3"/>
      <x:c r="G9" s="3" t="str">
        <x:v>+8613012985856</x:v>
      </x:c>
      <x:c r="H9" s="3" t="str">
        <x:v>SAHİPLİK KANITI YETERSİZ</x:v>
      </x:c>
      <x:c r="I9" s="3" t="str">
        <x:v>A</x:v>
      </x:c>
      <x:c r="J9" s="8" t="str">
        <x:v>input_website; page_identity_strong:2/2@scope=public_brand,pages=2; context_match:1/1; email_domain_match; structured_identity_strong:2/2@scope=public_brand; legal_name_phrase_missing:0/4; country_identity_unproven; identity_evidence:2;decision:conflict; website_identity_not_independently_verified</x:v>
      </x:c>
      <x:c r="K9" s="8" t="str">
        <x:v>Aday sitede ticari unvanı; yoksa aynı marka ile adres/telefon/KVKK/mesafeli satış gibi birinci taraf sahiplik kanıtını bul.</x:v>
      </x:c>
      <x:c r="L9" s="19" t="str">
        <x:v>KANIT YETERSİZ</x:v>
      </x:c>
      <x:c r="M9" s="20" t="str">
        <x:v>Global Bodor sitesi Türkiye tüzel kişisini/adresini göstermedi; Çin merkez iletişimi Türkiye şirketi için yayımlanmadı.</x:v>
      </x:c>
      <x:c r="N9" s="8" t="str">
        <x:v>https://www.maktekfuari.com/brand/bodor-laser-turkey-makina-ticaret-limited-sirketi</x:v>
      </x:c>
      <x:c r="O9" s="3" t="str">
        <x:v>12A</x:v>
      </x:c>
      <x:c r="P9" s="3" t="str">
        <x:v>41</x:v>
      </x:c>
    </x:row>
    <x:row r="10">
      <x:c r="A10" s="3" t="str">
        <x:v>BOR CARBIDE İÇ VE DIŞ TİCARET A.Ş.</x:v>
      </x:c>
      <x:c r="B10" s="3" t="str">
        <x:v>MANUAL_REVIEWED_HOLD</x:v>
      </x:c>
      <x:c r="C10" s="3"/>
      <x:c r="D10" s="3" t="str">
        <x:v>https://borcarbide.com</x:v>
      </x:c>
      <x:c r="E10" s="3"/>
      <x:c r="F10" s="3"/>
      <x:c r="G10" s="3"/>
      <x:c r="H10" s="3" t="str">
        <x:v>TİCARİ UNVAN BAĞLANTISI EKSİK</x:v>
      </x:c>
      <x:c r="I10" s="3" t="str">
        <x:v>A</x:v>
      </x:c>
      <x:c r="J10" s="8" t="str">
        <x:v>domain_hits:1/2; fuzzy:24; text_bonus:8; tld_bonus:0; compact_brand_bonus:24; rare_token_signal:4:carbide; anchored_primary_bonus:24; rank_bonus:8; query_trust_bonus:6; rank:1; query_evidence:1; consensus_bonus:0; metadata_context_matches:0; metadata_context_bonus:0; candidate_role:company_candidate; role_penalty:0; page_identity_strong:4/4; metadata_context_missing:0/1; email_domain_match; structured_identity_absent; legal_name_phrase_missing:0/4; country_identity_tr_phone; context_gate_failed; identity_evidence:2;decision:conflict; unverified_website_candidate_preserved_for_review</x:v>
      </x:c>
      <x:c r="K10" s="8" t="str">
        <x:v>Hakkımızda, iletişim, KVKK ve footer sayfalarında marka–ticari unvan bağını veya aynı adres/telefonu doğrula.</x:v>
      </x:c>
      <x:c r="L10" s="19" t="str">
        <x:v>KANIT YETERSİZ</x:v>
      </x:c>
      <x:c r="M10" s="20" t="str">
        <x:v>borcarbide.com marka ve Türkiye iletişimi gösteriyor ancak A.Ş. ticari unvan/sahiplik bağı birinci taraf yasal içerikte bulunamadı.</x:v>
      </x:c>
      <x:c r="N10" s="8" t="str">
        <x:v>https://www.maktekfuari.com/brand/bor-carbide-ic-ve-dis-ticaret-as</x:v>
      </x:c>
      <x:c r="O10" s="3" t="str">
        <x:v>12A</x:v>
      </x:c>
      <x:c r="P10" s="3" t="str">
        <x:v>29</x:v>
      </x:c>
    </x:row>
    <x:row r="11">
      <x:c r="A11" s="3" t="str">
        <x:v>BÜLENT SAĞBİLGE HMC LAZER SERVİS</x:v>
      </x:c>
      <x:c r="B11" s="3" t="str">
        <x:v>MANUAL_REVIEWED_HOLD</x:v>
      </x:c>
      <x:c r="C11" s="3"/>
      <x:c r="D11" s="3" t="str">
        <x:v>https://hmclazer.com</x:v>
      </x:c>
      <x:c r="E11" s="3"/>
      <x:c r="F11" s="3"/>
      <x:c r="G11" s="3"/>
      <x:c r="H11" s="3" t="str">
        <x:v>TİCARİ UNVAN BAĞLANTISI EKSİK</x:v>
      </x:c>
      <x:c r="I11" s="3" t="str">
        <x:v>A</x:v>
      </x:c>
      <x:c r="J11" s="8" t="str">
        <x:v>domain_hits:1/4; fuzzy:24; text_bonus:6; tld_bonus:0; compact_brand_bonus:24; rare_token_signal:8:lazer,servis; rank_bonus:8; query_trust_bonus:6; rank:1; query_evidence:2; consensus_bonus:4;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x:v>
      </x:c>
      <x:c r="K11" s="8" t="str">
        <x:v>Hakkımızda, iletişim, KVKK ve footer sayfalarında marka–ticari unvan bağını veya aynı adres/telefonu doğrula.</x:v>
      </x:c>
      <x:c r="L11" s="19" t="str">
        <x:v>KANIT YETERSİZ</x:v>
      </x:c>
      <x:c r="M11" s="20" t="str">
        <x:v>Birinci taraf sayfada ticari unvan/marka sahipliği ile Türkiye izi yeterince birlikte doğrulanamadı; yayın hassasiyeti için bekletildi.</x:v>
      </x:c>
      <x:c r="N11" s="8" t="str">
        <x:v>https://www.maktekfuari.com/brand/bulent-sagbilge-hmc-lazer-servis</x:v>
      </x:c>
      <x:c r="O11" s="3" t="str">
        <x:v>12A</x:v>
      </x:c>
      <x:c r="P11" s="3" t="str">
        <x:v>62</x:v>
      </x:c>
    </x:row>
    <x:row r="12">
      <x:c r="A12" s="3" t="str">
        <x:v>CANDAR METAL OTOMOTİV SAN. TİC. LTD. ŞTİ.</x:v>
      </x:c>
      <x:c r="B12" s="3" t="str">
        <x:v>MANUAL_WRONG_CANDIDATE</x:v>
      </x:c>
      <x:c r="C12" s="3"/>
      <x:c r="D12" s="3" t="str">
        <x:v>http://candarotomotivgaziantep.com</x:v>
      </x:c>
      <x:c r="E12" s="3"/>
      <x:c r="F12" s="3"/>
      <x:c r="G12" s="3"/>
      <x:c r="H12" s="3" t="str">
        <x:v>SAHİPLİK KANITI YETERSİZ</x:v>
      </x:c>
      <x:c r="I12" s="3" t="str">
        <x:v>A</x:v>
      </x:c>
      <x:c r="J12" s="8" t="str">
        <x:v>domain_hits:2/2; fuzzy:24; text_bonus:4; tld_bonus:0; primary_brand_bonus:14; context_bonus:4; rare_token_signal:8:candar,otomotiv; rank_bonus:2; query_trust_bonus:10; rank:4; query_evidence:3; consensus_bonus:8; metadata_context_matches:0; metadata_context_bonus:0; candidate_role:company_candidate; role_penalty:0; page_identity_missing:0/2; context_name_not_observed:0/1; no_email; structured_identity_absent; legal_name_phrase_missing:0/3; country_identity_tr_phone; ambiguous_name_risk_cap; identity_evidence:1;decision:insufficient_independent_support; website_identity_not_independently_verified</x:v>
      </x:c>
      <x:c r="K12" s="8" t="str">
        <x:v>Aday sitede ticari unvanı; yoksa aynı marka ile adres/telefon/KVKK/mesafeli satış gibi birinci taraf sahiplik kanıtını bul.</x:v>
      </x:c>
      <x:c r="L12" s="19" t="str">
        <x:v>YANLIŞ FİRMA</x:v>
      </x:c>
      <x:c r="M12" s="20" t="str">
        <x:v>Aday site farklı şirket, sektör, ülke veya tüzel kişi gösterdi; homonim/şirket sahibi uyuşmazlığı nedeniyle yayımlanmadı.</x:v>
      </x:c>
      <x:c r="N12" s="8" t="str">
        <x:v>https://www.maktekfuari.com/brand/candar-metal-otomotiv-san-tic-ltd-sti</x:v>
      </x:c>
      <x:c r="O12" s="3" t="str">
        <x:v>11A</x:v>
      </x:c>
      <x:c r="P12" s="3" t="str">
        <x:v>43</x:v>
      </x:c>
    </x:row>
    <x:row r="13">
      <x:c r="A13" s="3" t="str">
        <x:v>CSB TEKNİK MAKİNA SAN. TİC. LTD. ŞTİ.</x:v>
      </x:c>
      <x:c r="B13" s="3" t="str">
        <x:v>MANUAL_REVIEWED_HOLD</x:v>
      </x:c>
      <x:c r="C13" s="3"/>
      <x:c r="D13" s="3" t="str">
        <x:v>https://csbteknik.com</x:v>
      </x:c>
      <x:c r="E13" s="3"/>
      <x:c r="F13" s="3"/>
      <x:c r="G13" s="3"/>
      <x:c r="H13" s="3" t="str">
        <x:v>TİCARİ UNVAN BAĞLANTISI EKSİK</x:v>
      </x:c>
      <x:c r="I13" s="3" t="str">
        <x:v>A</x:v>
      </x:c>
      <x:c r="J13" s="8" t="str">
        <x:v>domain_hits:1/3; fuzzy:24; text_bonus:4; tld_bonus:0; compact_brand_bonus:24; rare_token_signal:4:teknik; anchored_primary_bonus:24; rank_bonus:6; query_trust_bonus:10; rank:2; query_evidence:2; consensus_bonus:4; metadata_context_matches:0; metadata_context_bonus:0; candidate_role:company_candidate; role_penalty:0; page_identity_medium:2/3; metadata_context_missing:0/1; email_domain_match; structured_identity_absent; legal_name_phrase_missing:0/3; country_identity_tr_phone; ambiguous_name_risk_cap; context_gate_failed; identity_evidence:2;decision:conflict; unsafe_context_identity; unverified_website_candidate_preserved_for_review</x:v>
      </x:c>
      <x:c r="K13" s="8" t="str">
        <x:v>Hakkımızda, iletişim, KVKK ve footer sayfalarında marka–ticari unvan bağını veya aynı adres/telefonu doğrula.</x:v>
      </x:c>
      <x:c r="L13" s="19" t="str">
        <x:v>KANIT YETERSİZ</x:v>
      </x:c>
      <x:c r="M13" s="20" t="str">
        <x:v>Birinci taraf sayfada ticari unvan/marka sahipliği ile Türkiye izi yeterince birlikte doğrulanamadı; yayın hassasiyeti için bekletildi.</x:v>
      </x:c>
      <x:c r="N13" s="8" t="str">
        <x:v>https://www.maktekfuari.com/brand/csb-teknik-makina-san-tic-ltd-sti</x:v>
      </x:c>
      <x:c r="O13" s="3" t="str">
        <x:v>1</x:v>
      </x:c>
      <x:c r="P13" s="3" t="str">
        <x:v>115</x:v>
      </x:c>
    </x:row>
    <x:row r="14">
      <x:c r="A14" s="3" t="str">
        <x:v>DCB LAZER TEKNOLOJİLERİ SAN. TİC. LTD. ŞTİ.</x:v>
      </x:c>
      <x:c r="B14" s="3" t="str">
        <x:v>MANUAL_REVIEWED_HOLD</x:v>
      </x:c>
      <x:c r="C14" s="3"/>
      <x:c r="D14" s="3" t="str">
        <x:v>https://smtech-eurasia.com</x:v>
      </x:c>
      <x:c r="E14" s="3"/>
      <x:c r="F14" s="3"/>
      <x:c r="G14" s="3"/>
      <x:c r="H14" s="3" t="str">
        <x:v>TİCARİ UNVAN BAĞLANTISI EKSİK</x:v>
      </x:c>
      <x:c r="I14" s="3" t="str">
        <x:v>A</x:v>
      </x:c>
      <x:c r="J14" s="8" t="str">
        <x:v>search_text_identity:2/3; rank_bonus:6; query_trust_bonus:10; rank:2; query_evidence:2; consensus_bonus:4; metadata_context_matches:1; metadata_context_bonus:8; candidate_role:unknown; role_penalty:0; page_identity_weak:1/3; metadata_context_missing:0/1; email_domain_match; structured_identity_urls_only; legal_name_phrase_missing:0/3; country_identity_tr_phone; ambiguous_name_risk_cap; context_gate_failed; identity_evidence:0;decision:conflict; unsafe_context_identity; unverified_website_candidate_preserved_for_review</x:v>
      </x:c>
      <x:c r="K14" s="8" t="str">
        <x:v>Hakkımızda, iletişim, KVKK ve footer sayfalarında marka–ticari unvan bağını veya aynı adres/telefonu doğrula.</x:v>
      </x:c>
      <x:c r="L14" s="19" t="str">
        <x:v>YENİDEN TARA</x:v>
      </x:c>
      <x:c r="M14" s="20" t="str">
        <x:v>Aday site bu kontrolde açılmadı veya geçerli HTML kanıtı vermedi; şirket sahipliği ve iletişim doğrulanamadı.</x:v>
      </x:c>
      <x:c r="N14" s="8" t="str">
        <x:v>https://www.maktekfuari.com/brand/dcb-lazer-teknolojileri-san-tic-ltd-sti</x:v>
      </x:c>
      <x:c r="O14" s="3" t="str">
        <x:v>12A</x:v>
      </x:c>
      <x:c r="P14" s="3" t="str">
        <x:v>34</x:v>
      </x:c>
    </x:row>
    <x:row r="15">
      <x:c r="A15" s="3" t="str">
        <x:v>DEMİRAL MAKİNE İNŞ. VE PAZ. SAN. TİC. A.Ş.</x:v>
      </x:c>
      <x:c r="B15" s="3" t="str">
        <x:v>MANUAL_REVIEWED_HOLD</x:v>
      </x:c>
      <x:c r="C15" s="3"/>
      <x:c r="D15" s="3" t="str">
        <x:v>http://www.demiralmakina.com.tr</x:v>
      </x:c>
      <x:c r="E15" s="3"/>
      <x:c r="F15" s="3"/>
      <x:c r="G15" s="3" t="str">
        <x:v>‎+90 232 501 17 23</x:v>
      </x:c>
      <x:c r="H15" s="3" t="str">
        <x:v>TİCARİ UNVAN BAĞLANTISI EKSİK</x:v>
      </x:c>
      <x:c r="I15" s="3" t="str">
        <x:v>A</x:v>
      </x:c>
      <x:c r="J15" s="8" t="str">
        <x:v>input_website; page_identity_weak:1/3; metadata_context_missing:0/1; no_email; structured_identity_absent; legal_name_phrase_missing:0/4; country_identity_tr_tld; ambiguous_name_risk_cap; no_tr_contact_or_usable_email; context_gate_failed; identity_evidence:2;decision:conflict</x:v>
      </x:c>
      <x:c r="K15" s="8" t="str">
        <x:v>Hakkımızda, iletişim, KVKK ve footer sayfalarında marka–ticari unvan bağını veya aynı adres/telefonu doğrula.</x:v>
      </x:c>
      <x:c r="L15" s="19" t="str">
        <x:v>KANIT YETERSİZ</x:v>
      </x:c>
      <x:c r="M15" s="20" t="str">
        <x:v>Birinci taraf sayfada ticari unvan/marka sahipliği ile Türkiye izi yeterince birlikte doğrulanamadı; yayın hassasiyeti için bekletildi.</x:v>
      </x:c>
      <x:c r="N15" s="8" t="str">
        <x:v>https://www.maktekfuari.com/brand/demiral-makine-ins-ve-paz-san-tic-as</x:v>
      </x:c>
      <x:c r="O15" s="3" t="str">
        <x:v>11</x:v>
      </x:c>
      <x:c r="P15" s="3" t="str">
        <x:v>1123</x:v>
      </x:c>
    </x:row>
    <x:row r="16">
      <x:c r="A16" s="3" t="str">
        <x:v>ERİŞ OTOMASYON MAK.SAN.TİC.LTD.ŞTİ.</x:v>
      </x:c>
      <x:c r="B16" s="3" t="str">
        <x:v>MANUAL_REVIEWED_HOLD</x:v>
      </x:c>
      <x:c r="C16" s="3"/>
      <x:c r="D16" s="3" t="str">
        <x:v>https://maktekkonya.com</x:v>
      </x:c>
      <x:c r="E16" s="3"/>
      <x:c r="F16" s="3"/>
      <x:c r="G16" s="3"/>
      <x:c r="H16" s="3" t="str">
        <x:v>SAHİPLİK KANITI YETERSİZ</x:v>
      </x:c>
      <x:c r="I16" s="3" t="str">
        <x:v>A</x:v>
      </x:c>
      <x:c r="J16" s="8" t="str">
        <x:v>search_text_identity:1/3; rank_bonus:4; query_trust_bonus:6; rank:3; query_evidence:4; consensus_bonus:8; metadata_context_matches:0; metadata_context_bonus:0; candidate_role:unknown; role_penalty:0; page_identity_strong:3/3; context_match:1/1; email_domain_match; structured_identity_absent; legal_name_phrase_missing:0/3; country_identity_tr_phone; identity_evidence:1;decision:insufficient_independent_support; website_identity_not_independently_verified</x:v>
      </x:c>
      <x:c r="K16" s="8" t="str">
        <x:v>Aday sitede ticari unvanı; yoksa aynı marka ile adres/telefon/KVKK/mesafeli satış gibi birinci taraf sahiplik kanıtını bul.</x:v>
      </x:c>
      <x:c r="L16" s="19" t="str">
        <x:v>KANIT YETERSİZ</x:v>
      </x:c>
      <x:c r="M16" s="20" t="str">
        <x:v>Bulunan aday fuar, rehber, pazaryeri veya listing sayfasıdır; resmî site sayılmadığı için yayımlanmadı.</x:v>
      </x:c>
      <x:c r="N16" s="8" t="str">
        <x:v>https://www.maktekfuari.com/brand/eris-otomasyon-maksanticltdsti</x:v>
      </x:c>
      <x:c r="O16" s="3" t="str">
        <x:v>6</x:v>
      </x:c>
      <x:c r="P16" s="3" t="str">
        <x:v>607</x:v>
      </x:c>
    </x:row>
    <x:row r="17">
      <x:c r="A17" s="3" t="str">
        <x:v>FLY METAL SAN.TİC.LTD.ŞTİ</x:v>
      </x:c>
      <x:c r="B17" s="3" t="str">
        <x:v>MANUAL_REVIEWED_HOLD</x:v>
      </x:c>
      <x:c r="C17" s="3" t="str">
        <x:v>https://www.flyserviceturkey.com.tr</x:v>
      </x:c>
      <x:c r="D17" s="3" t="str">
        <x:v>https://www.fly-mak.com</x:v>
      </x:c>
      <x:c r="E17" s="3"/>
      <x:c r="F17" s="3" t="str">
        <x:v>‎0212 663 37 18</x:v>
      </x:c>
      <x:c r="G17" s="3"/>
      <x:c r="H17" s="3" t="str">
        <x:v>TİCARİ UNVAN BAĞLANTISI EKSİK</x:v>
      </x:c>
      <x:c r="I17" s="3" t="str">
        <x:v>A</x:v>
      </x:c>
      <x:c r="J17" s="8" t="str">
        <x:v>labelled_third_party_outbound_discovery; discovery_only_not_identity_authority; page_identity_strong:1/1; metadata_context_missing:0/1; no_email; structured_identity_strong:1/1; legal_name_phrase_missing:0/2; country_identity_tr_tld; ambiguous_name_risk_cap; context_gate_failed; identity_evidence:1;decision:strong_first_party_needs_uniqueness; needs_manual_review</x:v>
      </x:c>
      <x:c r="K17" s="8" t="str">
        <x:v>Hakkımızda, iletişim, KVKK ve footer sayfalarında marka–ticari unvan bağını veya aynı adres/telefonu doğrula.</x:v>
      </x:c>
      <x:c r="L17" s="19" t="str">
        <x:v>KANIT YETERSİZ</x:v>
      </x:c>
      <x:c r="M17" s="20" t="str">
        <x:v>Birinci taraf sayfada ticari unvan/marka sahipliği ile Türkiye izi yeterince birlikte doğrulanamadı; yayın hassasiyeti için bekletildi.</x:v>
      </x:c>
      <x:c r="N17" s="8" t="str">
        <x:v>https://www.maktekfuari.com/brand/fly-metal-santicltdsti</x:v>
      </x:c>
      <x:c r="O17" s="3" t="str">
        <x:v>11A</x:v>
      </x:c>
      <x:c r="P17" s="3" t="str">
        <x:v>32</x:v>
      </x:c>
    </x:row>
    <x:row r="18">
      <x:c r="A18" s="3" t="str">
        <x:v>GENCO TEKNİK MAKİNA TİC. LTD. ŞTİ.</x:v>
      </x:c>
      <x:c r="B18" s="3" t="str">
        <x:v>MANUAL_REVIEWED_HOLD</x:v>
      </x:c>
      <x:c r="C18" s="3"/>
      <x:c r="D18" s="3" t="str">
        <x:v>https://www.gencomakina.com</x:v>
      </x:c>
      <x:c r="E18" s="3"/>
      <x:c r="F18" s="3"/>
      <x:c r="G18" s="3" t="str">
        <x:v>‎+90 533 365 96 42</x:v>
      </x:c>
      <x:c r="H18" s="3" t="str">
        <x:v>TİCARİ UNVAN BAĞLANTISI EKSİK</x:v>
      </x:c>
      <x:c r="I18" s="3" t="str">
        <x:v>A</x:v>
      </x:c>
      <x:c r="J18" s="8" t="str">
        <x:v>input_website; page_identity_missing:0/3; metadata_context_missing:0/1; no_email; structured_identity_absent; legal_name_phrase_missing:0/3; country_identity_unproven; no_tr_contact_or_usable_email; context_gate_failed; identity_evidence:2;decision:conflict</x:v>
      </x:c>
      <x:c r="K18" s="8" t="str">
        <x:v>Hakkımızda, iletişim, KVKK ve footer sayfalarında marka–ticari unvan bağını veya aynı adres/telefonu doğrula.</x:v>
      </x:c>
      <x:c r="L18" s="19" t="str">
        <x:v>KANIT YETERSİZ</x:v>
      </x:c>
      <x:c r="M18" s="20" t="str">
        <x:v>Birinci taraf sayfada ticari unvan/marka sahipliği ile Türkiye izi yeterince birlikte doğrulanamadı; yayın hassasiyeti için bekletildi.</x:v>
      </x:c>
      <x:c r="N18" s="8" t="str">
        <x:v>https://www.maktekfuari.com/brand/genco-teknik-makina-tic-ltd-sti</x:v>
      </x:c>
      <x:c r="O18" s="3" t="str">
        <x:v>11</x:v>
      </x:c>
      <x:c r="P18" s="3" t="str">
        <x:v>1144</x:v>
      </x:c>
    </x:row>
    <x:row r="19">
      <x:c r="A19" s="3" t="str">
        <x:v>GESKO CNC TAKIM TEZGAHLARI SANAYI VE TICARET LIMITED SIRKETI</x:v>
      </x:c>
      <x:c r="B19" s="3" t="str">
        <x:v>MANUAL_REVIEWED_HOLD</x:v>
      </x:c>
      <x:c r="C19" s="3"/>
      <x:c r="D19" s="3" t="str">
        <x:v>https://maktekkonya.com</x:v>
      </x:c>
      <x:c r="E19" s="3"/>
      <x:c r="F19" s="3"/>
      <x:c r="G19" s="3"/>
      <x:c r="H19" s="3" t="str">
        <x:v>SAHİPLİK KANITI YETERSİZ</x:v>
      </x:c>
      <x:c r="I19" s="3" t="str">
        <x:v>A</x:v>
      </x:c>
      <x:c r="J19" s="8" t="str">
        <x:v>search_text_identity:3/4; search_legal_name_identity:4; rank_bonus:0; query_trust_bonus:6; rank:6; query_evidence:1; consensus_bonus:0; metadata_context_matches:0; metadata_context_bonus:0; candidate_role:unknown; role_penalty:0; page_identity_weak:1/5; context_match:1/1; email_domain_match; structured_identity_urls_only; legal_name_phrase_missing:0/4; country_identity_tr_phone; identity_evidence:0;decision:insufficient_independent_support; website_identity_not_independently_verified</x:v>
      </x:c>
      <x:c r="K19" s="8" t="str">
        <x:v>Aday sitede ticari unvanı; yoksa aynı marka ile adres/telefon/KVKK/mesafeli satış gibi birinci taraf sahiplik kanıtını bul.</x:v>
      </x:c>
      <x:c r="L19" s="19" t="str">
        <x:v>KANIT YETERSİZ</x:v>
      </x:c>
      <x:c r="M19" s="20" t="str">
        <x:v>Bulunan aday fuar, rehber, pazaryeri veya listing sayfasıdır; resmî site sayılmadığı için yayımlanmadı.</x:v>
      </x:c>
      <x:c r="N19" s="8" t="str">
        <x:v>https://www.maktekfuari.com/brand/gesko-cnc-takim-tezgahlari-sanayi-ve-ticaret-limited-sirketi</x:v>
      </x:c>
      <x:c r="O19" s="3" t="str">
        <x:v>12</x:v>
      </x:c>
      <x:c r="P19" s="3" t="str">
        <x:v>1235</x:v>
      </x:c>
    </x:row>
    <x:row r="20">
      <x:c r="A20" s="3" t="str">
        <x:v>GTECH KESİCİ TAKIMLAR SAN. VE TİC. LTD. ŞTİ.</x:v>
      </x:c>
      <x:c r="B20" s="3" t="str">
        <x:v>MANUAL_REVIEWED_HOLD</x:v>
      </x:c>
      <x:c r="C20" s="3"/>
      <x:c r="D20" s="3" t="str">
        <x:v>https://g-tech.com.tr/</x:v>
      </x:c>
      <x:c r="E20" s="3"/>
      <x:c r="F20" s="3"/>
      <x:c r="G20" s="3" t="str">
        <x:v>‎+90 530 446 88 63</x:v>
      </x:c>
      <x:c r="H20" s="3" t="str">
        <x:v>TİCARİ UNVAN BAĞLANTISI EKSİK</x:v>
      </x:c>
      <x:c r="I20" s="3" t="str">
        <x:v>A</x:v>
      </x:c>
      <x:c r="J20" s="8" t="str">
        <x:v>input_website; page_identity_missing:0/3; metadata_context_missing:0/1; no_email; structured_identity_absent; legal_name_phrase_missing:0/3; country_identity_tr_tld; tls_insecure_transport; no_tr_contact_or_usable_email; context_gate_failed; identity_evidence:1;decision:conflict</x:v>
      </x:c>
      <x:c r="K20" s="8" t="str">
        <x:v>Hakkımızda, iletişim, KVKK ve footer sayfalarında marka–ticari unvan bağını veya aynı adres/telefonu doğrula.</x:v>
      </x:c>
      <x:c r="L20" s="19" t="str">
        <x:v>YENİDEN TARA</x:v>
      </x:c>
      <x:c r="M20" s="20" t="str">
        <x:v>Aday site bu kontrolde açılmadı veya geçerli HTML kanıtı vermedi; şirket sahipliği ve iletişim doğrulanamadı.</x:v>
      </x:c>
      <x:c r="N20" s="8" t="str">
        <x:v>https://www.maktekfuari.com/brand/gtech-kesici-takimlar-san-ve-tic-ltd-sti</x:v>
      </x:c>
      <x:c r="O20" s="3" t="str">
        <x:v>11, 12, 12</x:v>
      </x:c>
      <x:c r="P20" s="3" t="str">
        <x:v>1168, 1218, 1224</x:v>
      </x:c>
    </x:row>
    <x:row r="21">
      <x:c r="A21" s="3" t="str">
        <x:v>HIGHTECH Temsilci Firma</x:v>
      </x:c>
      <x:c r="B21" s="3" t="str">
        <x:v>MANUAL_REVIEWED_HOLD</x:v>
      </x:c>
      <x:c r="C21" s="3"/>
      <x:c r="D21" s="3" t="str">
        <x:v>https://www.maktekfuari.com</x:v>
      </x:c>
      <x:c r="E21" s="3"/>
      <x:c r="F21" s="3"/>
      <x:c r="G21" s="3" t="str">
        <x:v>‎+90 507 655 95 00</x:v>
      </x:c>
      <x:c r="H21" s="3" t="str">
        <x:v>TİCARİ UNVAN BAĞLANTISI EKSİK</x:v>
      </x:c>
      <x:c r="I21" s="3" t="str">
        <x:v>A</x:v>
      </x:c>
      <x:c r="J21" s="8" t="str">
        <x:v>search_text_identity:1/3; rank_bonus:0; query_trust_bonus:10; rank:6; query_evidence:2; consensus_bonus:4; metadata_context_matches:0; metadata_context_bonus:0; candidate_role:unknown; role_penalty:0; page_identity_medium:2/3; metadata_context_missing:0/1; email_domain_match; structured_identity_absent; legal_name_phrase_missing:0/3; country_identity_tr_tld; context_gate_failed; identity_evidence:1;decision:conflict; unsafe_context_identity; unverified_website_candidate_preserved_for_review</x:v>
      </x:c>
      <x:c r="K21" s="8" t="str">
        <x:v>Hakkımızda, iletişim, KVKK ve footer sayfalarında marka–ticari unvan bağını veya aynı adres/telefonu doğrula.</x:v>
      </x:c>
      <x:c r="L21" s="19" t="str">
        <x:v>KANIT YETERSİZ</x:v>
      </x:c>
      <x:c r="M21" s="20" t="str">
        <x:v>Birinci taraf sayfada ticari unvan/marka sahipliği ile Türkiye izi yeterince birlikte doğrulanamadı; yayın hassasiyeti için bekletildi.</x:v>
      </x:c>
      <x:c r="N21" s="8" t="str">
        <x:v>https://www.maktekfuari.com/brand/hightech</x:v>
      </x:c>
      <x:c r="O21" s="3" t="str">
        <x:v>5</x:v>
      </x:c>
      <x:c r="P21" s="3" t="str">
        <x:v>501A</x:v>
      </x:c>
    </x:row>
    <x:row r="22">
      <x:c r="A22" s="3" t="str">
        <x:v>KASERSAN LAZER SARF MALZEMELERİ - EMİRHAN KAĞAN DAĞLI</x:v>
      </x:c>
      <x:c r="B22" s="3" t="str">
        <x:v>MANUAL_REVIEWED_HOLD</x:v>
      </x:c>
      <x:c r="C22" s="3"/>
      <x:c r="D22" s="3" t="str">
        <x:v>https://www.kasersan.com</x:v>
      </x:c>
      <x:c r="E22" s="3"/>
      <x:c r="F22" s="3"/>
      <x:c r="G22" s="3" t="str">
        <x:v>‎+90 551 591 06 06</x:v>
      </x:c>
      <x:c r="H22" s="3" t="str">
        <x:v>TİCARİ UNVAN BAĞLANTISI EKSİK</x:v>
      </x:c>
      <x:c r="I22" s="3" t="str">
        <x:v>A</x:v>
      </x:c>
      <x:c r="J22" s="8" t="str">
        <x:v>input_website; page_identity_missing:0/7; metadata_context_missing:0/1; no_email; structured_identity_absent; legal_name_phrase_missing:0/4; country_identity_unproven; tls_insecure_transport; no_tr_contact_or_usable_email; context_gate_failed; identity_evidence:1;decision:conflict</x:v>
      </x:c>
      <x:c r="K22" s="8" t="str">
        <x:v>Hakkımızda, iletişim, KVKK ve footer sayfalarında marka–ticari unvan bağını veya aynı adres/telefonu doğrula.</x:v>
      </x:c>
      <x:c r="L22" s="19" t="str">
        <x:v>YENİDEN TARA</x:v>
      </x:c>
      <x:c r="M22" s="20" t="str">
        <x:v>Aday site bu kontrolde açılmadı veya geçerli HTML kanıtı vermedi; şirket sahipliği ve iletişim doğrulanamadı.</x:v>
      </x:c>
      <x:c r="N22" s="8" t="str">
        <x:v>https://www.maktekfuari.com/brand/kasersan-lazer-sarf-malzemeleri-emirhan-kagan-dagli</x:v>
      </x:c>
      <x:c r="O22" s="3" t="str">
        <x:v>12A</x:v>
      </x:c>
      <x:c r="P22" s="3" t="str">
        <x:v>57A</x:v>
      </x:c>
    </x:row>
    <x:row r="23">
      <x:c r="A23" s="3" t="str">
        <x:v>LINEMEDIA BİLİŞİM LTD. ŞTİ.</x:v>
      </x:c>
      <x:c r="B23" s="3" t="str">
        <x:v>MANUAL_REVIEWED_HOLD</x:v>
      </x:c>
      <x:c r="C23" s="3"/>
      <x:c r="D23" s="3" t="str">
        <x:v>https://machineryline.com.tr/</x:v>
      </x:c>
      <x:c r="E23" s="3"/>
      <x:c r="F23" s="3"/>
      <x:c r="G23" s="3" t="str">
        <x:v>‎+90 212 900 47 66</x:v>
      </x:c>
      <x:c r="H23" s="3" t="str">
        <x:v>SAHİPLİK KANITI YETERSİZ</x:v>
      </x:c>
      <x:c r="I23" s="3" t="str">
        <x:v>A</x:v>
      </x:c>
      <x:c r="J23" s="8" t="str">
        <x:v>input_website; page_identity_missing:0/2; context_match:1/1; no_email; structured_identity_unmatched:0/2; legal_name_phrase_missing:0/2; country_identity_tr_tld; ambiguous_name_risk_cap; identity_evidence:1;decision:conflict; website_identity_not_independently_verified</x:v>
      </x:c>
      <x:c r="K23" s="8" t="str">
        <x:v>Aday sitede ticari unvanı; yoksa aynı marka ile adres/telefon/KVKK/mesafeli satış gibi birinci taraf sahiplik kanıtını bul.</x:v>
      </x:c>
      <x:c r="L23" s="19" t="str">
        <x:v>KANIT YETERSİZ</x:v>
      </x:c>
      <x:c r="M23" s="20" t="str">
        <x:v>Bulunan aday fuar, rehber, pazaryeri veya listing sayfasıdır; resmî site sayılmadığı için yayımlanmadı.</x:v>
      </x:c>
      <x:c r="N23" s="8" t="str">
        <x:v>https://www.maktekfuari.com/brand/linemedia-bilisim-ltd-sti</x:v>
      </x:c>
      <x:c r="O23" s="3" t="str">
        <x:v>SalonNo</x:v>
      </x:c>
      <x:c r="P23" s="3" t="str">
        <x:v>StandNo</x:v>
      </x:c>
    </x:row>
    <x:row r="24">
      <x:c r="A24" s="3" t="str">
        <x:v>MAKPA MAKİNA PAZARLAMA LTD ŞTİ</x:v>
      </x:c>
      <x:c r="B24" s="3" t="str">
        <x:v>MANUAL_REVIEWED_HOLD</x:v>
      </x:c>
      <x:c r="C24" s="3"/>
      <x:c r="D24" s="3" t="str">
        <x:v>https://www.makpaltd.com.tr</x:v>
      </x:c>
      <x:c r="E24" s="3"/>
      <x:c r="F24" s="3"/>
      <x:c r="G24" s="3" t="str">
        <x:v>‎+90 532 425 59 80</x:v>
      </x:c>
      <x:c r="H24" s="3" t="str">
        <x:v>TİCARİ UNVAN BAĞLANTISI EKSİK</x:v>
      </x:c>
      <x:c r="I24" s="3" t="str">
        <x:v>A</x:v>
      </x:c>
      <x:c r="J24" s="8" t="str">
        <x:v>input_website; page_identity_weak:1/3; metadata_context_missing:0/1; no_email; structured_identity_absent; legal_name_phrase_missing:0/3; country_identity_tr_tld; tls_insecure_transport; no_tr_contact_or_usable_email; context_gate_failed; identity_evidence:1;decision:conflict</x:v>
      </x:c>
      <x:c r="K24" s="8" t="str">
        <x:v>Hakkımızda, iletişim, KVKK ve footer sayfalarında marka–ticari unvan bağını veya aynı adres/telefonu doğrula.</x:v>
      </x:c>
      <x:c r="L24" s="19" t="str">
        <x:v>YENİDEN TARA</x:v>
      </x:c>
      <x:c r="M24" s="20" t="str">
        <x:v>Aday site bu kontrolde açılmadı veya geçerli HTML kanıtı vermedi; şirket sahipliği ve iletişim doğrulanamadı.</x:v>
      </x:c>
      <x:c r="N24" s="8" t="str">
        <x:v>https://www.maktekfuari.com/brand/makpa-makina-pazarlama-ltd-sti</x:v>
      </x:c>
      <x:c r="O24" s="3" t="str">
        <x:v>11</x:v>
      </x:c>
      <x:c r="P24" s="3" t="str">
        <x:v>1107B</x:v>
      </x:c>
    </x:row>
    <x:row r="25">
      <x:c r="A25" s="3" t="str">
        <x:v>MAXPHOTONICS ENDÜSTRİYEL LAZER SİSTEMLERİ SAN. VE TİC. A.Ş.</x:v>
      </x:c>
      <x:c r="B25" s="3" t="str">
        <x:v>MANUAL_REVIEWED_HOLD</x:v>
      </x:c>
      <x:c r="C25" s="3"/>
      <x:c r="D25" s="3" t="str">
        <x:v>https://www.maxlasers.com</x:v>
      </x:c>
      <x:c r="E25" s="3"/>
      <x:c r="F25" s="3"/>
      <x:c r="G25" s="3" t="str">
        <x:v>‎+90 543 629 74 68</x:v>
      </x:c>
      <x:c r="H25" s="3" t="str">
        <x:v>TİCARİ UNVAN BAĞLANTISI EKSİK</x:v>
      </x:c>
      <x:c r="I25" s="3" t="str">
        <x:v>A</x:v>
      </x:c>
      <x:c r="J25" s="8" t="str">
        <x:v>input_website; page_identity_medium:1/2; metadata_context_missing:0/1; email_domain_match; structured_identity_medium:1/2; legal_name_phrase_missing:0/4; country_identity_unproven; ambiguous_name_risk_cap; context_gate_failed; identity_evidence:2;decision:conflict</x:v>
      </x:c>
      <x:c r="K25" s="8" t="str">
        <x:v>Hakkımızda, iletişim, KVKK ve footer sayfalarında marka–ticari unvan bağını veya aynı adres/telefonu doğrula.</x:v>
      </x:c>
      <x:c r="L25" s="19" t="str">
        <x:v>KANIT YETERSİZ</x:v>
      </x:c>
      <x:c r="M25" s="20" t="str">
        <x:v>Birinci taraf sayfada ticari unvan/marka sahipliği ile Türkiye izi yeterince birlikte doğrulanamadı; yayın hassasiyeti için bekletildi.</x:v>
      </x:c>
      <x:c r="N25" s="8" t="str">
        <x:v>https://www.maktekfuari.com/brand/maxphotonics-endustriyel-lazer-sistemleri-san-ve-tic-as</x:v>
      </x:c>
      <x:c r="O25" s="3" t="str">
        <x:v>12A</x:v>
      </x:c>
      <x:c r="P25" s="3" t="str">
        <x:v>32</x:v>
      </x:c>
    </x:row>
    <x:row r="26">
      <x:c r="A26" s="3" t="str">
        <x:v>METAFORGEX MAKİNA SAN.TİC.LTD.ŞTİ.</x:v>
      </x:c>
      <x:c r="B26" s="3" t="str">
        <x:v>MANUAL_WRONG_CANDIDATE</x:v>
      </x:c>
      <x:c r="C26" s="3"/>
      <x:c r="D26" s="3" t="str">
        <x:v>https://metaforgex.com</x:v>
      </x:c>
      <x:c r="E26" s="3"/>
      <x:c r="F26" s="3"/>
      <x:c r="G26" s="3"/>
      <x:c r="H26" s="3" t="str">
        <x:v>SAHİPLİK KANITI YETERSİZ</x:v>
      </x:c>
      <x:c r="I26" s="3" t="str">
        <x:v>A</x:v>
      </x:c>
      <x:c r="J26" s="8" t="str">
        <x:v>search_text_identity:1/2; rank_bonus:4; query_trust_bonus:10; rank:3; query_evidence:1; consensus_bonus:0; metadata_context_matches:0; metadata_context_bonus:0; candidate_role:unknown; role_penalty:0; page_identity_medium:1/2; context_match:1/1; email_domain_match; structured_identity_medium:1/2; legal_name_phrase_missing:0/2; country_identity_tr_tld; identity_evidence:1;decision:insufficient_independent_support; website_identity_not_independently_verified</x:v>
      </x:c>
      <x:c r="K26" s="8" t="str">
        <x:v>Aday sitede ticari unvanı; yoksa aynı marka ile adres/telefon/KVKK/mesafeli satış gibi birinci taraf sahiplik kanıtını bul.</x:v>
      </x:c>
      <x:c r="L26" s="19" t="str">
        <x:v>YANLIŞ FİRMA</x:v>
      </x:c>
      <x:c r="M26" s="20" t="str">
        <x:v>Aday site farklı şirket, sektör, ülke veya tüzel kişi gösterdi; homonim/şirket sahibi uyuşmazlığı nedeniyle yayımlanmadı.</x:v>
      </x:c>
      <x:c r="N26" s="8" t="str">
        <x:v>https://www.maktekfuari.com/brand/metaforgex-makina-santicltdsti</x:v>
      </x:c>
      <x:c r="O26" s="3" t="str">
        <x:v>11A</x:v>
      </x:c>
      <x:c r="P26" s="3" t="str">
        <x:v>28</x:v>
      </x:c>
    </x:row>
    <x:row r="27">
      <x:c r="A27" s="3" t="str">
        <x:v>MOĞOLLAR MAKİNA DIŞ TİC.DENİZCİLİK LTD.ŞTİ.</x:v>
      </x:c>
      <x:c r="B27" s="3" t="str">
        <x:v>MANUAL_REVIEWED_HOLD</x:v>
      </x:c>
      <x:c r="C27" s="3"/>
      <x:c r="D27" s="3" t="str">
        <x:v>https://mogolmakina.com</x:v>
      </x:c>
      <x:c r="E27" s="3"/>
      <x:c r="F27" s="3"/>
      <x:c r="G27" s="3" t="str">
        <x:v>‎+90 532 234 19 30</x:v>
      </x:c>
      <x:c r="H27" s="3" t="str">
        <x:v>TİCARİ UNVAN BAĞLANTISI EKSİK</x:v>
      </x:c>
      <x:c r="I27" s="3" t="str">
        <x:v>A</x:v>
      </x:c>
      <x:c r="J27" s="8" t="str">
        <x:v>input_website; page_identity_medium:2/4; metadata_context_missing:0/1; no_email; structured_identity_absent; legal_name_phrase_missing:0/4; country_identity_unproven; tls_insecure_transport; no_tr_contact_or_usable_email; context_gate_failed; identity_evidence:2;decision:conflict</x:v>
      </x:c>
      <x:c r="K27" s="8" t="str">
        <x:v>Hakkımızda, iletişim, KVKK ve footer sayfalarında marka–ticari unvan bağını veya aynı adres/telefonu doğrula.</x:v>
      </x:c>
      <x:c r="L27" s="19" t="str">
        <x:v>YENİDEN TARA</x:v>
      </x:c>
      <x:c r="M27" s="20" t="str">
        <x:v>Aday site bu kontrolde açılmadı veya geçerli HTML kanıtı vermedi; şirket sahipliği ve iletişim doğrulanamadı.</x:v>
      </x:c>
      <x:c r="N27" s="8" t="str">
        <x:v>https://www.maktekfuari.com/brand/mogollar-makina-dis-ticdenizcilik-ltdsti</x:v>
      </x:c>
      <x:c r="O27" s="3" t="str">
        <x:v>2</x:v>
      </x:c>
      <x:c r="P27" s="3" t="str">
        <x:v>215</x:v>
      </x:c>
    </x:row>
    <x:row r="28">
      <x:c r="A28" s="3" t="str">
        <x:v>MUBEA TELLERFEDERN GMBH Temsilci Firma</x:v>
      </x:c>
      <x:c r="B28" s="3" t="str">
        <x:v>MANUAL_REVIEWED_HOLD</x:v>
      </x:c>
      <x:c r="C28" s="3"/>
      <x:c r="D28" s="3" t="str">
        <x:v>https://www.mubea.com</x:v>
      </x:c>
      <x:c r="E28" s="3"/>
      <x:c r="F28" s="3"/>
      <x:c r="G28" s="3" t="str">
        <x:v>‎+90 533 935 31 31</x:v>
      </x:c>
      <x:c r="H28" s="3" t="str">
        <x:v>TİCARİ UNVAN BAĞLANTISI EKSİK</x:v>
      </x:c>
      <x:c r="I28" s="3" t="str">
        <x:v>A</x:v>
      </x:c>
      <x:c r="J28" s="8" t="str">
        <x:v>input_website; page_identity_medium:2/4; metadata_context_missing:0/1; no_email; structured_identity_urls_only; legal_name_phrase_missing:0/4; country_identity_unproven; no_tr_contact_or_usable_email; context_gate_failed; identity_evidence:2;decision:conflict</x:v>
      </x:c>
      <x:c r="K28" s="8" t="str">
        <x:v>Hakkımızda, iletişim, KVKK ve footer sayfalarında marka–ticari unvan bağını veya aynı adres/telefonu doğrula.</x:v>
      </x:c>
      <x:c r="L28" s="19" t="str">
        <x:v>YENİDEN TARA</x:v>
      </x:c>
      <x:c r="M28" s="20" t="str">
        <x:v>Aday site bu kontrolde açılmadı veya geçerli HTML kanıtı vermedi; şirket sahipliği ve iletişim doğrulanamadı.</x:v>
      </x:c>
      <x:c r="N28" s="8" t="str">
        <x:v>https://www.maktekfuari.com/brand/mubea-tellerfedern-gmbh</x:v>
      </x:c>
      <x:c r="O28" s="3" t="str">
        <x:v>2</x:v>
      </x:c>
      <x:c r="P28" s="3" t="str">
        <x:v>225A</x:v>
      </x:c>
    </x:row>
    <x:row r="29">
      <x:c r="A29" s="3" t="str">
        <x:v>PROAKTİF YAZILIM TEKNOLOJİLERİ LTD.ŞTİ.</x:v>
      </x:c>
      <x:c r="B29" s="3" t="str">
        <x:v>MANUAL_REVIEWED_HOLD</x:v>
      </x:c>
      <x:c r="C29" s="3"/>
      <x:c r="D29" s="3" t="str">
        <x:v>https://admin.proaktifyazilim.com</x:v>
      </x:c>
      <x:c r="E29" s="3"/>
      <x:c r="F29" s="3"/>
      <x:c r="G29" s="3"/>
      <x:c r="H29" s="3" t="str">
        <x:v>TİCARİ UNVAN BAĞLANTISI EKSİK</x:v>
      </x:c>
      <x:c r="I29" s="3" t="str">
        <x:v>A</x:v>
      </x:c>
      <x:c r="J29" s="8" t="str">
        <x:v>domain_hits:2/3; fuzzy:20; text_bonus:4; tld_bonus:0; primary_brand_bonus:14; rare_token_signal:8:proaktif,yazilim; rank_bonus:4; query_trust_bonus:6; rank:3; query_evidence:1; consensus_bonus:0; metadata_context_matches:0; metadata_context_bonus:0; candidate_role:company_candidate; role_penalty:0; page_identity_medium:2/3; metadata_context_missing:0/1; no_email; structured_identity_urls_only; legal_name_phrase_missing:0/3; country_identity_unproven; no_tr_contact_or_usable_email; context_gate_failed; identity_evidence:2;decision:conflict; unsafe_context_identity; unverified_website_candidate_preserved_for_review</x:v>
      </x:c>
      <x:c r="K29" s="8" t="str">
        <x:v>Hakkımızda, iletişim, KVKK ve footer sayfalarında marka–ticari unvan bağını veya aynı adres/telefonu doğrula.</x:v>
      </x:c>
      <x:c r="L29" s="19" t="str">
        <x:v>KANIT YETERSİZ</x:v>
      </x:c>
      <x:c r="M29" s="20" t="str">
        <x:v>Birinci taraf sayfada ticari unvan/marka sahipliği ile Türkiye izi yeterince birlikte doğrulanamadı; yayın hassasiyeti için bekletildi.</x:v>
      </x:c>
      <x:c r="N29" s="8" t="str">
        <x:v>https://www.maktekfuari.com/brand/proaktif-yazilim-teknolojileri-ltdsti</x:v>
      </x:c>
      <x:c r="O29" s="3" t="str">
        <x:v>12</x:v>
      </x:c>
      <x:c r="P29" s="3" t="str">
        <x:v>1223</x:v>
      </x:c>
    </x:row>
    <x:row r="30">
      <x:c r="A30" s="3" t="str">
        <x:v>RUKO TÜRKİYE Temsilci Firma</x:v>
      </x:c>
      <x:c r="B30" s="3" t="str">
        <x:v>MANUAL_REVIEWED_HOLD</x:v>
      </x:c>
      <x:c r="C30" s="3"/>
      <x:c r="D30" s="3" t="str">
        <x:v>https://ruko.de/de</x:v>
      </x:c>
      <x:c r="E30" s="3"/>
      <x:c r="F30" s="3"/>
      <x:c r="G30" s="3" t="str">
        <x:v>‎+90 555 534 67 07</x:v>
      </x:c>
      <x:c r="H30" s="3" t="str">
        <x:v>TİCARİ UNVAN BAĞLANTISI EKSİK</x:v>
      </x:c>
      <x:c r="I30" s="3" t="str">
        <x:v>A</x:v>
      </x:c>
      <x:c r="J30" s="8" t="str">
        <x:v>input_website; page_identity_medium:1/2@scope=public_brand,pages=7; metadata_context_missing:0/1; email_domain_match; structured_identity_weak:1/4; legal_name_phrase_missing:0/4; country_identity_unproven; context_gate_failed; identity_evidence:2;decision:conflict</x:v>
      </x:c>
      <x:c r="K30" s="8" t="str">
        <x:v>Hakkımızda, iletişim, KVKK ve footer sayfalarında marka–ticari unvan bağını veya aynı adres/telefonu doğrula.</x:v>
      </x:c>
      <x:c r="L30" s="19" t="str">
        <x:v>KANIT YETERSİZ</x:v>
      </x:c>
      <x:c r="M30" s="20" t="str">
        <x:v>Birinci taraf sayfada ticari unvan/marka sahipliği ile Türkiye izi yeterince birlikte doğrulanamadı; yayın hassasiyeti için bekletildi.</x:v>
      </x:c>
      <x:c r="N30" s="8" t="str">
        <x:v>https://www.maktekfuari.com/brand/ruko-turkiye</x:v>
      </x:c>
      <x:c r="O30" s="3" t="str">
        <x:v>11</x:v>
      </x:c>
      <x:c r="P30" s="3" t="str">
        <x:v>1107A</x:v>
      </x:c>
    </x:row>
    <x:row r="31">
      <x:c r="A31" s="3" t="str">
        <x:v>SANAYİCİ ÜRÜNLERİ İLAN YAYIN REK. VE PAZ. LTD. ŞTİ.</x:v>
      </x:c>
      <x:c r="B31" s="3" t="str">
        <x:v>MANUAL_REVIEWED_HOLD</x:v>
      </x:c>
      <x:c r="C31" s="3"/>
      <x:c r="D31" s="3" t="str">
        <x:v>https://www.sanayiden.com</x:v>
      </x:c>
      <x:c r="E31" s="3"/>
      <x:c r="F31" s="3"/>
      <x:c r="G31" s="3"/>
      <x:c r="H31" s="3" t="str">
        <x:v>SAHİPLİK KANITI YETERSİZ</x:v>
      </x:c>
      <x:c r="I31" s="3" t="str">
        <x:v>A</x:v>
      </x:c>
      <x:c r="J31" s="8" t="str">
        <x:v>search_text_identity:2/5; search_legal_name_identity:6; rank_bonus:8; query_trust_bonus:6; rank:1; query_evidence:4; consensus_bonus:8; metadata_context_matches:0; metadata_context_bonus:0; candidate_role:unknown; role_penalty:0; page_identity_medium:3/6; context_match:1/1; email_domain_match; structured_identity_urls_only; legal_name_phrase_missing:0/4; country_identity_tr_phone; identity_evidence:1;decision:insufficient_independent_support; website_identity_not_independently_verified</x:v>
      </x:c>
      <x:c r="K31" s="8" t="str">
        <x:v>Aday sitede ticari unvanı; yoksa aynı marka ile adres/telefon/KVKK/mesafeli satış gibi birinci taraf sahiplik kanıtını bul.</x:v>
      </x:c>
      <x:c r="L31" s="19" t="str">
        <x:v>KANIT YETERSİZ</x:v>
      </x:c>
      <x:c r="M31" s="20" t="str">
        <x:v>Birinci taraf sayfada ticari unvan/marka sahipliği ile Türkiye izi yeterince birlikte doğrulanamadı; yayın hassasiyeti için bekletildi.</x:v>
      </x:c>
      <x:c r="N31" s="8" t="str">
        <x:v>https://www.maktekfuari.com/brand/sanayici-urunleri-ilan-yayin-rek-ve-paz-ltd-sti</x:v>
      </x:c>
      <x:c r="O31" s="3" t="str">
        <x:v>SalonNo</x:v>
      </x:c>
      <x:c r="P31" s="3" t="str">
        <x:v>StandNo</x:v>
      </x:c>
    </x:row>
    <x:row r="32">
      <x:c r="A32" s="3" t="str">
        <x:v>SCHAUMBURG MAKİNE TEKNOLOJİLERİ İMALATI İÇ VE DIŞ TİC. LTD.ŞTİ.</x:v>
      </x:c>
      <x:c r="B32" s="3" t="str">
        <x:v>MANUAL_REVIEWED_HOLD</x:v>
      </x:c>
      <x:c r="C32" s="3"/>
      <x:c r="D32" s="3" t="str">
        <x:v>https://smtech-eurasia.com</x:v>
      </x:c>
      <x:c r="E32" s="3"/>
      <x:c r="F32" s="3"/>
      <x:c r="G32" s="3"/>
      <x:c r="H32" s="3" t="str">
        <x:v>TİCARİ UNVAN BAĞLANTISI EKSİK</x:v>
      </x:c>
      <x:c r="I32" s="3" t="str">
        <x:v>A</x:v>
      </x:c>
      <x:c r="J32" s="8" t="str">
        <x:v>search_text_identity:3/3; search_legal_name_identity:6; rank_bonus:4; query_trust_bonus:10; rank:3; query_evidence:1; consensus_bonus:0; metadata_context_matches:1; metadata_context_bonus:8; candidate_role:unknown; role_penalty:0; page_identity_medium:3/5; metadata_context_missing:0/1; email_domain_match; structured_identity_urls_only; legal_name_phrase_missing:0/4; country_identity_tr_phone; ambiguous_name_risk_cap; context_gate_failed; identity_evidence:1;decision:conflict; unsafe_context_identity; unverified_website_candidate_preserved_for_review</x:v>
      </x:c>
      <x:c r="K32" s="8" t="str">
        <x:v>Hakkımızda, iletişim, KVKK ve footer sayfalarında marka–ticari unvan bağını veya aynı adres/telefonu doğrula.</x:v>
      </x:c>
      <x:c r="L32" s="19" t="str">
        <x:v>YENİDEN TARA</x:v>
      </x:c>
      <x:c r="M32" s="20" t="str">
        <x:v>Aday site bu kontrolde açılmadı veya geçerli HTML kanıtı vermedi; şirket sahipliği ve iletişim doğrulanamadı.</x:v>
      </x:c>
      <x:c r="N32" s="8" t="str">
        <x:v>https://www.maktekfuari.com/brand/schaumburg-makine-teknolojileri-imalati-ic-ve-dis-tic-ltdsti</x:v>
      </x:c>
      <x:c r="O32" s="3" t="str">
        <x:v>12A</x:v>
      </x:c>
      <x:c r="P32" s="3" t="str">
        <x:v>30</x:v>
      </x:c>
    </x:row>
    <x:row r="33">
      <x:c r="A33" s="3" t="str">
        <x:v>SHİNİL STARK MAKİNE SAN. LTD. ŞTİ.</x:v>
      </x:c>
      <x:c r="B33" s="3" t="str">
        <x:v>MANUAL_REVIEWED_HOLD</x:v>
      </x:c>
      <x:c r="C33" s="3"/>
      <x:c r="D33" s="3" t="str">
        <x:v>https://www.shin-il.com</x:v>
      </x:c>
      <x:c r="E33" s="3"/>
      <x:c r="F33" s="3"/>
      <x:c r="G33" s="3"/>
      <x:c r="H33" s="3" t="str">
        <x:v>SAHİPLİK KANITI YETERSİZ</x:v>
      </x:c>
      <x:c r="I33" s="3" t="str">
        <x:v>A</x:v>
      </x:c>
      <x:c r="J33" s="8" t="str">
        <x:v>search_text_identity:1/2; rank_bonus:8; query_trust_bonus:10; rank:1; query_evidence:4; consensus_bonus:8; metadata_context_matches:1; metadata_context_bonus:8; candidate_role:unknown; role_penalty:0; page_identity_medium:1/2; context_match:1/1; email_domain_match; structured_identity_medium:1/2; legal_name_phrase_missing:0/3; country_identity_tr_phone; identity_evidence:1;decision:insufficient_independent_support; website_identity_not_independently_verified</x:v>
      </x:c>
      <x:c r="K33" s="8" t="str">
        <x:v>Aday sitede ticari unvanı; yoksa aynı marka ile adres/telefon/KVKK/mesafeli satış gibi birinci taraf sahiplik kanıtını bul.</x:v>
      </x:c>
      <x:c r="L33" s="19" t="str">
        <x:v>YENİDEN TARA</x:v>
      </x:c>
      <x:c r="M33" s="20" t="str">
        <x:v>Aday site bu kontrolde açılmadı veya geçerli HTML kanıtı vermedi; şirket sahipliği ve iletişim doğrulanamadı.</x:v>
      </x:c>
      <x:c r="N33" s="8" t="str">
        <x:v>https://www.maktekfuari.com/brand/shinil-stark-makine-san-ltd-sti</x:v>
      </x:c>
      <x:c r="O33" s="3" t="str">
        <x:v>12A</x:v>
      </x:c>
      <x:c r="P33" s="3" t="str">
        <x:v>44A</x:v>
      </x:c>
    </x:row>
    <x:row r="34">
      <x:c r="A34" s="3" t="str">
        <x:v>SMW AUTOBLOK MAK.SAN. VE TİC.LTD.ŞTİ.</x:v>
      </x:c>
      <x:c r="B34" s="3" t="str">
        <x:v>MANUAL_REVIEWED_HOLD</x:v>
      </x:c>
      <x:c r="C34" s="3"/>
      <x:c r="D34" s="3" t="str">
        <x:v>https://www.smwautoblok.com/</x:v>
      </x:c>
      <x:c r="E34" s="3"/>
      <x:c r="F34" s="3"/>
      <x:c r="G34" s="3" t="str">
        <x:v>‎+90 544 127 26 67</x:v>
      </x:c>
      <x:c r="H34" s="3" t="str">
        <x:v>TİCARİ UNVAN BAĞLANTISI EKSİK</x:v>
      </x:c>
      <x:c r="I34" s="3" t="str">
        <x:v>A</x:v>
      </x:c>
      <x:c r="J34" s="8" t="str">
        <x:v>input_website; page_identity_medium:2/3; metadata_context_missing:0/1; no_email; structured_identity_absent; legal_name_phrase_missing:0/3; country_identity_unproven; ambiguous_name_risk_cap; no_tr_contact_or_usable_email; context_gate_failed; identity_evidence:3;decision:conflict</x:v>
      </x:c>
      <x:c r="K34" s="8" t="str">
        <x:v>Hakkımızda, iletişim, KVKK ve footer sayfalarında marka–ticari unvan bağını veya aynı adres/telefonu doğrula.</x:v>
      </x:c>
      <x:c r="L34" s="19" t="str">
        <x:v>KANIT YETERSİZ</x:v>
      </x:c>
      <x:c r="M34" s="20" t="str">
        <x:v>Birinci taraf sayfada ticari unvan/marka sahipliği ile Türkiye izi yeterince birlikte doğrulanamadı; yayın hassasiyeti için bekletildi.</x:v>
      </x:c>
      <x:c r="N34" s="8" t="str">
        <x:v>https://www.maktekfuari.com/brand/smw-autoblok-maksan-ve-ticltdsti</x:v>
      </x:c>
      <x:c r="O34" s="3" t="str">
        <x:v>11</x:v>
      </x:c>
      <x:c r="P34" s="3" t="str">
        <x:v>1120</x:v>
      </x:c>
    </x:row>
    <x:row r="35">
      <x:c r="A35" s="3" t="str">
        <x:v>SOLİDCUT KESİCİ TAKIMLAR HIRDAVAT SAN. VE TİC. LTD. ŞTİ.</x:v>
      </x:c>
      <x:c r="B35" s="3" t="str">
        <x:v>MANUAL_REVIEWED_HOLD</x:v>
      </x:c>
      <x:c r="C35" s="3"/>
      <x:c r="D35" s="3" t="str">
        <x:v>https://www.maktekfuari.com</x:v>
      </x:c>
      <x:c r="E35" s="3"/>
      <x:c r="F35" s="3"/>
      <x:c r="G35" s="3"/>
      <x:c r="H35" s="3" t="str">
        <x:v>TİCARİ UNVAN BAĞLANTISI EKSİK</x:v>
      </x:c>
      <x:c r="I35" s="3" t="str">
        <x:v>A</x:v>
      </x:c>
      <x:c r="J35" s="8" t="str">
        <x:v>search_text_identity:3/4; rank_bonus:8; query_trust_bonus:10; rank:1; query_evidence:5; consensus_bonus:8; metadata_context_matches:0; metadata_context_bonus:0; candidate_role:unknown; role_penalty:0; page_identity_strong:3/4; metadata_context_missing:0/1; email_domain_match; structured_identity_absent; legal_name_phrase_missing:0/4; country_identity_tr_tld; context_gate_failed; identity_evidence:2;decision:conflict; unsafe_context_identity; unverified_website_candidate_preserved_for_review</x:v>
      </x:c>
      <x:c r="K35" s="8" t="str">
        <x:v>Hakkımızda, iletişim, KVKK ve footer sayfalarında marka–ticari unvan bağını veya aynı adres/telefonu doğrula.</x:v>
      </x:c>
      <x:c r="L35" s="19" t="str">
        <x:v>KANIT YETERSİZ</x:v>
      </x:c>
      <x:c r="M35" s="20" t="str">
        <x:v>Birinci taraf sayfada ticari unvan/marka sahipliği ile Türkiye izi yeterince birlikte doğrulanamadı; yayın hassasiyeti için bekletildi.</x:v>
      </x:c>
      <x:c r="N35" s="8" t="str">
        <x:v>https://www.maktekfuari.com/brand/solidcut-kesici-takimlar-hirdavat-san-ve-tic-ltd-sti</x:v>
      </x:c>
      <x:c r="O35" s="3" t="str">
        <x:v>11</x:v>
      </x:c>
      <x:c r="P35" s="3" t="str">
        <x:v>1101B</x:v>
      </x:c>
    </x:row>
    <x:row r="36">
      <x:c r="A36" s="3" t="str">
        <x:v>SRK OTOMOTİV YAN SAN. VE TİC. A.Ş.</x:v>
      </x:c>
      <x:c r="B36" s="3" t="str">
        <x:v>MANUAL_REVIEWED_HOLD</x:v>
      </x:c>
      <x:c r="C36" s="3" t="str">
        <x:v>https://www.otomotivsanayi.com</x:v>
      </x:c>
      <x:c r="D36" s="3" t="str">
        <x:v>https://www.otomotivsanayi.com</x:v>
      </x:c>
      <x:c r="E36" s="3" t="str">
        <x:v>info@otomotivsanayi.com</x:v>
      </x:c>
      <x:c r="F36" s="3" t="str">
        <x:v>‎0224 233 38 56</x:v>
      </x:c>
      <x:c r="G36" s="3"/>
      <x:c r="H36" s="3" t="str">
        <x:v>TİCARİ UNVAN BAĞLANTISI EKSİK</x:v>
      </x:c>
      <x:c r="I36" s="3" t="str">
        <x:v>A</x:v>
      </x:c>
      <x:c r="J36" s="8" t="str">
        <x:v>domain_hits:1/3; fuzzy:19; text_bonus:8; tld_bonus:0; context_bonus:4; rare_token_signal:4:otomotiv; rank_bonus:8; query_trust_bonus:10; rank:1; query_evidence:7; consensus_bonus:8; metadata_context_matches:0; metadata_context_bonus:0; candidate_role:company_candidate; role_penalty:0; page_identity_medium:2/3; context_name_match:1/1; email_domain_match; structured_identity_weak:1/3; legal_name_phrase_missing:0/3; country_identity_tr_phone; ambiguous_name_risk_cap; identity_evidence:2;decision:verified; needs_manual_review</x:v>
      </x:c>
      <x:c r="K36" s="8" t="str">
        <x:v>Hakkımızda, iletişim, KVKK ve footer sayfalarında marka–ticari unvan bağını veya aynı adres/telefonu doğrula.</x:v>
      </x:c>
      <x:c r="L36" s="19" t="str">
        <x:v>KANIT YETERSİZ</x:v>
      </x:c>
      <x:c r="M36" s="20" t="str">
        <x:v>Birinci taraf sayfada ticari unvan/marka sahipliği ile Türkiye izi yeterince birlikte doğrulanamadı; yayın hassasiyeti için bekletildi.</x:v>
      </x:c>
      <x:c r="N36" s="8" t="str">
        <x:v>https://www.maktekfuari.com/brand/srk-otomotiv-yan-san-ve-tic-as</x:v>
      </x:c>
      <x:c r="O36" s="3" t="str">
        <x:v>12A</x:v>
      </x:c>
      <x:c r="P36" s="3" t="str">
        <x:v>04</x:v>
      </x:c>
    </x:row>
    <x:row r="37">
      <x:c r="A37" s="3" t="str">
        <x:v>STARRETT IND&amp;COM LTDA Temsilci Firma</x:v>
      </x:c>
      <x:c r="B37" s="3" t="str">
        <x:v>MANUAL_REVIEWED_HOLD</x:v>
      </x:c>
      <x:c r="C37" s="3"/>
      <x:c r="D37" s="3" t="str">
        <x:v>https://www.starrett.com.br</x:v>
      </x:c>
      <x:c r="E37" s="3"/>
      <x:c r="F37" s="3"/>
      <x:c r="G37" s="3" t="str">
        <x:v>‎+90 533 935 31 31</x:v>
      </x:c>
      <x:c r="H37" s="3" t="str">
        <x:v>TİCARİ UNVAN BAĞLANTISI EKSİK</x:v>
      </x:c>
      <x:c r="I37" s="3" t="str">
        <x:v>A</x:v>
      </x:c>
      <x:c r="J37" s="8" t="str">
        <x:v>input_website; page_identity_medium:3/6; metadata_context_missing:0/1; no_email; structured_identity_absent; legal_name_phrase_missing:0/4; country_identity_unproven; no_tr_contact_or_usable_email; context_gate_failed; identity_evidence:2;decision:conflict</x:v>
      </x:c>
      <x:c r="K37" s="8" t="str">
        <x:v>Hakkımızda, iletişim, KVKK ve footer sayfalarında marka–ticari unvan bağını veya aynı adres/telefonu doğrula.</x:v>
      </x:c>
      <x:c r="L37" s="19" t="str">
        <x:v>KANIT YETERSİZ</x:v>
      </x:c>
      <x:c r="M37" s="20" t="str">
        <x:v>Birinci taraf sayfada ticari unvan/marka sahipliği ile Türkiye izi yeterince birlikte doğrulanamadı; yayın hassasiyeti için bekletildi.</x:v>
      </x:c>
      <x:c r="N37" s="8" t="str">
        <x:v>https://www.maktekfuari.com/brand/starrett-indcom-ltda</x:v>
      </x:c>
      <x:c r="O37" s="3" t="str">
        <x:v>2</x:v>
      </x:c>
      <x:c r="P37" s="3" t="str">
        <x:v>225A</x:v>
      </x:c>
    </x:row>
    <x:row r="38">
      <x:c r="A38" s="3" t="str">
        <x:v>SW MAKİNE TÜRKİYE TİC. LTD. ŞTİ.</x:v>
      </x:c>
      <x:c r="B38" s="3" t="str">
        <x:v>MANUAL_REVIEWED_HOLD</x:v>
      </x:c>
      <x:c r="C38" s="3"/>
      <x:c r="D38" s="3" t="str">
        <x:v>https://sw-machines.com/</x:v>
      </x:c>
      <x:c r="E38" s="3"/>
      <x:c r="F38" s="3"/>
      <x:c r="G38" s="3" t="str">
        <x:v>‎+90 542 896 17 15</x:v>
      </x:c>
      <x:c r="H38" s="3" t="str">
        <x:v>TİCARİ UNVAN BAĞLANTISI EKSİK</x:v>
      </x:c>
      <x:c r="I38" s="3" t="str">
        <x:v>A</x:v>
      </x:c>
      <x:c r="J38" s="8" t="str">
        <x:v>input_website; page_identity_medium:1/2; metadata_context_missing:0/2; email_domain_match; structured_identity_medium:1/2; legal_name_phrase_missing:0/3; country_identity_unproven; ambiguous_name_risk_cap; context_gate_failed; identity_evidence:2;decision:conflict</x:v>
      </x:c>
      <x:c r="K38" s="8" t="str">
        <x:v>Hakkımızda, iletişim, KVKK ve footer sayfalarında marka–ticari unvan bağını veya aynı adres/telefonu doğrula.</x:v>
      </x:c>
      <x:c r="L38" s="19" t="str">
        <x:v>KANIT YETERSİZ</x:v>
      </x:c>
      <x:c r="M38" s="20" t="str">
        <x:v>Birinci taraf sayfada ticari unvan/marka sahipliği ile Türkiye izi yeterince birlikte doğrulanamadı; yayın hassasiyeti için bekletildi.</x:v>
      </x:c>
      <x:c r="N38" s="8" t="str">
        <x:v>https://www.maktekfuari.com/brand/sw-makine-turkiye-tic-ltd-sti</x:v>
      </x:c>
      <x:c r="O38" s="3" t="str">
        <x:v>10</x:v>
      </x:c>
      <x:c r="P38" s="3" t="str">
        <x:v>1003</x:v>
      </x:c>
    </x:row>
    <x:row r="39">
      <x:c r="A39" s="3" t="str">
        <x:v>SWİSS TEKNİK TAKIM TEKNOLOJİLERİ SAN VE TİC LTD. ŞTİ.</x:v>
      </x:c>
      <x:c r="B39" s="3" t="str">
        <x:v>MANUAL_WRONG_CANDIDATE</x:v>
      </x:c>
      <x:c r="C39" s="3"/>
      <x:c r="D39" s="3" t="str">
        <x:v>https://swissteknik.com</x:v>
      </x:c>
      <x:c r="E39" s="3"/>
      <x:c r="F39" s="3"/>
      <x:c r="G39" s="3"/>
      <x:c r="H39" s="3" t="str">
        <x:v>TİCARİ UNVAN BAĞLANTISI EKSİK</x:v>
      </x:c>
      <x:c r="I39" s="3" t="str">
        <x:v>A</x:v>
      </x:c>
      <x:c r="J39" s="8" t="str">
        <x:v>domain_hits:2/4; fuzzy:24; text_bonus:6; tld_bonus:0; primary_brand_bonus:14; rare_token_signal:8:swiss,teknik; rank_bonus:4; query_trust_bonus:6; rank:3; query_evidence:7; consensus_bonus:8;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x:v>
      </x:c>
      <x:c r="K39" s="8" t="str">
        <x:v>Hakkımızda, iletişim, KVKK ve footer sayfalarında marka–ticari unvan bağını veya aynı adres/telefonu doğrula.</x:v>
      </x:c>
      <x:c r="L39" s="19" t="str">
        <x:v>YANLIŞ FİRMA</x:v>
      </x:c>
      <x:c r="M39" s="20" t="str">
        <x:v>Aday site farklı şirket, sektör, ülke veya tüzel kişi gösterdi; homonim/şirket sahibi uyuşmazlığı nedeniyle yayımlanmadı.</x:v>
      </x:c>
      <x:c r="N39" s="8" t="str">
        <x:v>https://www.maktekfuari.com/brand/swiss-teknik-takim-teknolojileri-san-ve-tic-ltd-sti</x:v>
      </x:c>
      <x:c r="O39" s="3" t="str">
        <x:v>11</x:v>
      </x:c>
      <x:c r="P39" s="3" t="str">
        <x:v>1137</x:v>
      </x:c>
    </x:row>
    <x:row r="40">
      <x:c r="A40" s="3" t="str">
        <x:v>TEKNİK DÖKÜM KAPLAMA MALZEMELERİ SANAYİ VE TİCARET ANONİM ŞİRKETİ</x:v>
      </x:c>
      <x:c r="B40" s="3" t="str">
        <x:v>MANUAL_REVIEWED_HOLD</x:v>
      </x:c>
      <x:c r="C40" s="3"/>
      <x:c r="D40" s="3" t="str">
        <x:v>https://www.teknikdokum.com/</x:v>
      </x:c>
      <x:c r="E40" s="3"/>
      <x:c r="F40" s="3"/>
      <x:c r="G40" s="3" t="str">
        <x:v>+904448351</x:v>
      </x:c>
      <x:c r="H40" s="3" t="str">
        <x:v>TİCARİ UNVAN BAĞLANTISI EKSİK</x:v>
      </x:c>
      <x:c r="I40" s="3" t="str">
        <x:v>A</x:v>
      </x:c>
      <x:c r="J40" s="8" t="str">
        <x:v>input_website; page_identity_strong:2/2@scope=public_brand,pages=2; metadata_context_missing:0/1; email_domain_match; structured_identity_strong:2/2@scope=public_brand; legal_name_phrase_missing:0/4; country_identity_unproven; context_gate_failed; identity_evidence:3;decision:conflict</x:v>
      </x:c>
      <x:c r="K40" s="8" t="str">
        <x:v>Hakkımızda, iletişim, KVKK ve footer sayfalarında marka–ticari unvan bağını veya aynı adres/telefonu doğrula.</x:v>
      </x:c>
      <x:c r="L40" s="19" t="str">
        <x:v>YENİDEN TARA</x:v>
      </x:c>
      <x:c r="M40" s="20" t="str">
        <x:v>Aday site bu kontrolde açılmadı veya geçerli HTML kanıtı vermedi; şirket sahipliği ve iletişim doğrulanamadı.</x:v>
      </x:c>
      <x:c r="N40" s="8" t="str">
        <x:v>https://www.maktekfuari.com/brand/teknik-dokum-kaplama-malzemeleri-sanayi-ve-ticaret-anonim-sirketi</x:v>
      </x:c>
      <x:c r="O40" s="3" t="str">
        <x:v>11A</x:v>
      </x:c>
      <x:c r="P40" s="3" t="str">
        <x:v>06</x:v>
      </x:c>
    </x:row>
    <x:row r="41">
      <x:c r="A41" s="3" t="str">
        <x:v>WEİSHİLİ LASER TEKONOLOJİ TİC. LTD. ŞTİ.</x:v>
      </x:c>
      <x:c r="B41" s="3" t="str">
        <x:v>MANUAL_WRONG_CANDIDATE</x:v>
      </x:c>
      <x:c r="C41" s="3"/>
      <x:c r="D41" s="3" t="str">
        <x:v>https://www.wsllaser.com/</x:v>
      </x:c>
      <x:c r="E41" s="3"/>
      <x:c r="F41" s="3"/>
      <x:c r="G41" s="3" t="str">
        <x:v>‎+90 537 235 98 62</x:v>
      </x:c>
      <x:c r="H41" s="3" t="str">
        <x:v>SAHİPLİK KANITI YETERSİZ</x:v>
      </x:c>
      <x:c r="I41" s="3" t="str">
        <x:v>A</x:v>
      </x:c>
      <x:c r="J41" s="8" t="str">
        <x:v>input_website; page_identity_medium:2/3; context_match:1/1; no_email; structured_identity_unmatched:0/3; legal_name_phrase_missing:0/3; country_identity_tr_phone; identity_evidence:2;decision:conflict; website_identity_not_independently_verified</x:v>
      </x:c>
      <x:c r="K41" s="8" t="str">
        <x:v>Aday sitede ticari unvanı; yoksa aynı marka ile adres/telefon/KVKK/mesafeli satış gibi birinci taraf sahiplik kanıtını bul.</x:v>
      </x:c>
      <x:c r="L41" s="19" t="str">
        <x:v>YANLIŞ FİRMA</x:v>
      </x:c>
      <x:c r="M41" s="20" t="str">
        <x:v>Aday site farklı şirket, sektör, ülke veya tüzel kişi gösterdi; homonim/şirket sahibi uyuşmazlığı nedeniyle yayımlanmadı.</x:v>
      </x:c>
      <x:c r="N41" s="8" t="str">
        <x:v>https://www.maktekfuari.com/brand/weishili-laser-tekonoloji-tic-ltd-sti</x:v>
      </x:c>
      <x:c r="O41" s="3" t="str">
        <x:v>11A</x:v>
      </x:c>
      <x:c r="P41" s="3" t="str">
        <x:v>37</x:v>
      </x:c>
    </x:row>
    <x:row r="42">
      <x:c r="A42" s="3" t="str">
        <x:v>YENİCİ MAKİNA KOMPRESÖR SAN. VE TİC. LTD. ŞTİ.</x:v>
      </x:c>
      <x:c r="B42" s="3" t="str">
        <x:v>MANUAL_REVIEWED_HOLD</x:v>
      </x:c>
      <x:c r="C42" s="3"/>
      <x:c r="D42" s="3" t="str">
        <x:v>https://www.cybo.com</x:v>
      </x:c>
      <x:c r="E42" s="3"/>
      <x:c r="F42" s="3"/>
      <x:c r="G42" s="3"/>
      <x:c r="H42" s="3" t="str">
        <x:v>TİCARİ UNVAN BAĞLANTISI EKSİK</x:v>
      </x:c>
      <x:c r="I42" s="3" t="str">
        <x:v>A</x:v>
      </x:c>
      <x:c r="J42" s="8" t="str">
        <x:v>search_text_identity:2/3; rank_bonus:8; query_trust_bonus:6; rank:1; query_evidence:1; consensus_bonus:0; metadata_context_matches:0; metadata_context_bonus:0; candidate_role:unknown; role_penalty:0; page_identity_medium:2/3; metadata_context_missing:0/1; no_email; structured_identity_absent; legal_name_phrase_missing:0/3; country_identity_tr_tld; no_tr_contact_or_usable_email; context_gate_failed; identity_evidence:1;decision:conflict; unsafe_context_identity; unverified_website_candidate_preserved_for_review</x:v>
      </x:c>
      <x:c r="K42" s="8" t="str">
        <x:v>Hakkımızda, iletişim, KVKK ve footer sayfalarında marka–ticari unvan bağını veya aynı adres/telefonu doğrula.</x:v>
      </x:c>
      <x:c r="L42" s="19" t="str">
        <x:v>YENİDEN TARA</x:v>
      </x:c>
      <x:c r="M42" s="20" t="str">
        <x:v>Aday site bu kontrolde açılmadı veya geçerli HTML kanıtı vermedi; şirket sahipliği ve iletişim doğrulanamadı.</x:v>
      </x:c>
      <x:c r="N42" s="8" t="str">
        <x:v>https://www.maktekfuari.com/brand/yenici-makina-kompresor-san-ve-tic-ltd-sti</x:v>
      </x:c>
      <x:c r="O42" s="3" t="str">
        <x:v>6</x:v>
      </x:c>
      <x:c r="P42" s="3" t="str">
        <x:v>628</x:v>
      </x:c>
    </x:row>
    <x:row r="43">
      <x:c r="A43" s="3" t="str">
        <x:v>ARI MAKİNA TAKIM TEZGAHLARI SAN.VE TİC.LTD.ŞTİ.</x:v>
      </x:c>
      <x:c r="B43" s="3" t="str">
        <x:v>MANUAL_WRONG_CANDIDATE</x:v>
      </x:c>
      <x:c r="C43" s="3"/>
      <x:c r="D43" s="3" t="str">
        <x:v>https://www.aricimakina.com</x:v>
      </x:c>
      <x:c r="E43" s="3"/>
      <x:c r="F43" s="3"/>
      <x:c r="G43" s="3" t="str">
        <x:v>‎+90 532 315 13 80</x:v>
      </x:c>
      <x:c r="H43" s="3" t="str">
        <x:v>BİRDEN FAZLA ADAY</x:v>
      </x:c>
      <x:c r="I43" s="3" t="str">
        <x:v>B</x:v>
      </x:c>
      <x:c r="J43" s="8" t="str">
        <x:v>unresolved_homonym_candidates:0; https://www.aricimakina.com vs https://arimakina.com</x:v>
      </x:c>
      <x:c r="K43" s="8" t="str">
        <x:v>Adayları ticari unvan, adres, fuar telefonu ve marka/temsilcilik bilgileriyle karşılaştır; tek resmî sahip seçilmeden yayımlama.</x:v>
      </x:c>
      <x:c r="L43" s="19" t="str">
        <x:v>YANLIŞ FİRMA</x:v>
      </x:c>
      <x:c r="M43" s="20" t="str">
        <x:v>Aday site farklı şirket, sektör, ülke veya tüzel kişi gösterdi; homonim/şirket sahibi uyuşmazlığı nedeniyle yayımlanmadı.</x:v>
      </x:c>
      <x:c r="N43" s="8" t="str">
        <x:v>https://www.maktekfuari.com/brand/ari-makina-takim-tezgahlari-sanve-ticltdsti</x:v>
      </x:c>
      <x:c r="O43" s="3" t="str">
        <x:v>7</x:v>
      </x:c>
      <x:c r="P43" s="3" t="str">
        <x:v>711</x:v>
      </x:c>
    </x:row>
    <x:row r="44">
      <x:c r="A44" s="3" t="str">
        <x:v>GRUP TEKNİK HIRDAVAT MAKİNA VE İNŞ. SAN. LTD. ŞTİ.</x:v>
      </x:c>
      <x:c r="B44" s="3" t="str">
        <x:v>MANUAL_REVIEWED_HOLD</x:v>
      </x:c>
      <x:c r="C44" s="3"/>
      <x:c r="D44" s="3" t="str">
        <x:v>https://www.grupteknik.tr</x:v>
      </x:c>
      <x:c r="E44" s="3"/>
      <x:c r="F44" s="3"/>
      <x:c r="G44" s="3"/>
      <x:c r="H44" s="3" t="str">
        <x:v>BİRDEN FAZLA ADAY</x:v>
      </x:c>
      <x:c r="I44" s="3" t="str">
        <x:v>B</x:v>
      </x:c>
      <x:c r="J44" s="8" t="str">
        <x:v>unresolved_homonym_candidates:8; https://www.grupteknik.com vs https://www.grupteknik.tr</x:v>
      </x:c>
      <x:c r="K44" s="8" t="str">
        <x:v>Adayları ticari unvan, adres, fuar telefonu ve marka/temsilcilik bilgileriyle karşılaştır; tek resmî sahip seçilmeden yayımlama.</x:v>
      </x:c>
      <x:c r="L44" s="19" t="str">
        <x:v>KANIT YETERSİZ</x:v>
      </x:c>
      <x:c r="M44" s="20" t="str">
        <x:v>Birinci taraf sayfada ticari unvan/marka sahipliği ile Türkiye izi yeterince birlikte doğrulanamadı; yayın hassasiyeti için bekletildi.</x:v>
      </x:c>
      <x:c r="N44" s="8" t="str">
        <x:v>https://www.maktekfuari.com/brand/grup-teknik-hirdavat-makina-ve-ins-san-ltd-sti</x:v>
      </x:c>
      <x:c r="O44" s="3" t="str">
        <x:v>12A</x:v>
      </x:c>
      <x:c r="P44" s="3" t="str">
        <x:v>49D</x:v>
      </x:c>
    </x:row>
    <x:row r="45">
      <x:c r="A45" s="3" t="str">
        <x:v>HAN ELEKTRONİK VE MEKANİK SANAYİ İÇ VE DIŞ TİC. LTD. ŞTİ.</x:v>
      </x:c>
      <x:c r="B45" s="3" t="str">
        <x:v>MANUAL_WRONG_CANDIDATE</x:v>
      </x:c>
      <x:c r="C45" s="3"/>
      <x:c r="D45" s="3" t="str">
        <x:v>https://www.hanmekanik.com</x:v>
      </x:c>
      <x:c r="E45" s="3"/>
      <x:c r="F45" s="3"/>
      <x:c r="G45" s="3" t="str">
        <x:v>‎+90 332 345 18 38</x:v>
      </x:c>
      <x:c r="H45" s="3" t="str">
        <x:v>BİRDEN FAZLA ADAY</x:v>
      </x:c>
      <x:c r="I45" s="3" t="str">
        <x:v>B</x:v>
      </x:c>
      <x:c r="J45" s="8" t="str">
        <x:v>unresolved_homonym_candidates:0; https://www.hanelektronik.com vs https://www.hanmekanik.com</x:v>
      </x:c>
      <x:c r="K45" s="8" t="str">
        <x:v>Adayları ticari unvan, adres, fuar telefonu ve marka/temsilcilik bilgileriyle karşılaştır; tek resmî sahip seçilmeden yayımlama.</x:v>
      </x:c>
      <x:c r="L45" s="19" t="str">
        <x:v>YANLIŞ FİRMA</x:v>
      </x:c>
      <x:c r="M45" s="20" t="str">
        <x:v>Aday site farklı şirket, sektör, ülke veya tüzel kişi gösterdi; homonim/şirket sahibi uyuşmazlığı nedeniyle yayımlanmadı.</x:v>
      </x:c>
      <x:c r="N45" s="8" t="str">
        <x:v>https://www.maktekfuari.com/brand/han-elektronik-ve-mekanik-sanayi-ic-ve-dis-tic-ltd-sti</x:v>
      </x:c>
      <x:c r="O45" s="3" t="str">
        <x:v>8</x:v>
      </x:c>
      <x:c r="P45" s="3" t="str">
        <x:v>810</x:v>
      </x:c>
    </x:row>
    <x:row r="46">
      <x:c r="A46" s="3" t="str">
        <x:v>KAYA YILDIZI ELEKTRONİK PAZ. SAN. VE TİC. LTD. ŞTİ.</x:v>
      </x:c>
      <x:c r="B46" s="3" t="str">
        <x:v>MANUAL_REVIEWED_HOLD</x:v>
      </x:c>
      <x:c r="C46" s="3"/>
      <x:c r="D46" s="3" t="str">
        <x:v>https://kayaelektronik.com.tr</x:v>
      </x:c>
      <x:c r="E46" s="3"/>
      <x:c r="F46" s="3"/>
      <x:c r="G46" s="3"/>
      <x:c r="H46" s="3" t="str">
        <x:v>WEBSITE AÇILAMADI</x:v>
      </x:c>
      <x:c r="I46" s="3" t="str">
        <x:v>B</x:v>
      </x:c>
      <x:c r="J46" s="8" t="str">
        <x:v>https://kayaelektronik.com.tr:https:None; http:cross_domain_redirect:http://www.kayaelektronik.com/; https://kayaelektronik.com.tr/about:ssl_error; https://kayaelektronik.com.tr/about-us:ssl_error; https://kayaelektronik.com.tr/hakkimizda:ssl_error; https://kayaelektronik.com.tr/kurumsal:ssl_error</x:v>
      </x:c>
      <x:c r="K46" s="8" t="str">
        <x:v>Siteyi tarayıcıda aç; yönlendirme/SSL/bot engelini kontrol et ve resmî iletişim sayfasını manuel doğrula.</x:v>
      </x:c>
      <x:c r="L46" s="19" t="str">
        <x:v>YENİDEN TARA</x:v>
      </x:c>
      <x:c r="M46" s="20" t="str">
        <x:v>Aday site bu kontrolde açılmadı veya geçerli HTML kanıtı vermedi; şirket sahipliği ve iletişim doğrulanamadı.</x:v>
      </x:c>
      <x:c r="N46" s="8" t="str">
        <x:v>https://www.maktekfuari.com/brand/kaya-yildizi-elektronik-paz-san-ve-tic-ltd-sti</x:v>
      </x:c>
      <x:c r="O46" s="3" t="str">
        <x:v>11A</x:v>
      </x:c>
      <x:c r="P46" s="3" t="str">
        <x:v>52</x:v>
      </x:c>
    </x:row>
    <x:row r="47">
      <x:c r="A47" s="3" t="str">
        <x:v>MURAT KÖSE</x:v>
      </x:c>
      <x:c r="B47" s="3" t="str">
        <x:v>MANUAL_WRONG_CANDIDATE</x:v>
      </x:c>
      <x:c r="C47" s="3"/>
      <x:c r="D47" s="3" t="str">
        <x:v>https://muratkose.com</x:v>
      </x:c>
      <x:c r="E47" s="3"/>
      <x:c r="F47" s="3"/>
      <x:c r="G47" s="3" t="str">
        <x:v>‎+90 554 494 84 03</x:v>
      </x:c>
      <x:c r="H47" s="3" t="str">
        <x:v>BİRDEN FAZLA ADAY</x:v>
      </x:c>
      <x:c r="I47" s="3" t="str">
        <x:v>B</x:v>
      </x:c>
      <x:c r="J47" s="8" t="str">
        <x:v>unreachable_same_name_domain: muratkose.com vs murat kose</x:v>
      </x:c>
      <x:c r="K47" s="8" t="str">
        <x:v>Adayları ticari unvan, adres, fuar telefonu ve marka/temsilcilik bilgileriyle karşılaştır; tek resmî sahip seçilmeden yayımlama.</x:v>
      </x:c>
      <x:c r="L47" s="19" t="str">
        <x:v>YANLIŞ FİRMA</x:v>
      </x:c>
      <x:c r="M47" s="20" t="str">
        <x:v>Aday site farklı şirket, sektör, ülke veya tüzel kişi gösterdi; homonim/şirket sahibi uyuşmazlığı nedeniyle yayımlanmadı.</x:v>
      </x:c>
      <x:c r="N47" s="8" t="str">
        <x:v>https://www.maktekfuari.com/brand/murat-kose</x:v>
      </x:c>
      <x:c r="O47" s="3" t="str">
        <x:v>SalonNo</x:v>
      </x:c>
      <x:c r="P47" s="3" t="str">
        <x:v>StandNo</x:v>
      </x:c>
    </x:row>
    <x:row r="48">
      <x:c r="A48" s="3" t="str">
        <x:v>NEWTOP GROUP LLC</x:v>
      </x:c>
      <x:c r="B48" s="3" t="str">
        <x:v>MANUAL_WRONG_CANDIDATE</x:v>
      </x:c>
      <x:c r="C48" s="3"/>
      <x:c r="D48" s="3" t="str">
        <x:v>https://www.usanewtop.com</x:v>
      </x:c>
      <x:c r="E48" s="3"/>
      <x:c r="F48" s="3"/>
      <x:c r="G48" s="3"/>
      <x:c r="H48" s="3" t="str">
        <x:v>BİRDEN FAZLA ADAY</x:v>
      </x:c>
      <x:c r="I48" s="3" t="str">
        <x:v>B</x:v>
      </x:c>
      <x:c r="J48" s="8" t="str">
        <x:v>unresolved_homonym_candidates:40; https://www.usanewtop.com vs https://newtoptools.com</x:v>
      </x:c>
      <x:c r="K48" s="8" t="str">
        <x:v>Adayları ticari unvan, adres, fuar telefonu ve marka/temsilcilik bilgileriyle karşılaştır; tek resmî sahip seçilmeden yayımlama.</x:v>
      </x:c>
      <x:c r="L48" s="19" t="str">
        <x:v>YANLIŞ FİRMA</x:v>
      </x:c>
      <x:c r="M48" s="20" t="str">
        <x:v>Aday site farklı şirket, sektör, ülke veya tüzel kişi gösterdi; homonim/şirket sahibi uyuşmazlığı nedeniyle yayımlanmadı.</x:v>
      </x:c>
      <x:c r="N48" s="8" t="str">
        <x:v>https://www.maktekfuari.com/brand/newtop-group-llc</x:v>
      </x:c>
      <x:c r="O48" s="3" t="str">
        <x:v>6</x:v>
      </x:c>
      <x:c r="P48" s="3" t="str">
        <x:v>630B</x:v>
      </x:c>
    </x:row>
    <x:row r="49">
      <x:c r="A49" s="3" t="str">
        <x:v>BİLGİN MEKATRONİK MAK. SAN. TİC. LTD. ŞTİ.</x:v>
      </x:c>
      <x:c r="B49" s="3" t="str">
        <x:v>MANUAL_WRONG_CANDIDATE</x:v>
      </x:c>
      <x:c r="C49" s="3"/>
      <x:c r="D49" s="3" t="str">
        <x:v>https://www.bilgimekatronik.com</x:v>
      </x:c>
      <x:c r="E49" s="3"/>
      <x:c r="F49" s="3"/>
      <x:c r="G49" s="3"/>
      <x:c r="H49" s="3" t="str">
        <x:v>WEBSITE BULUNAMADI</x:v>
      </x:c>
      <x:c r="I49" s="3" t="str">
        <x:v>C</x:v>
      </x:c>
      <x:c r="J49" s="8" t="str">
        <x:v>No candidate passed score threshold</x:v>
      </x:c>
      <x:c r="K49" s="8" t="str">
        <x:v>Tam ticari unvanı, fuar telefonu ve adres parçalarını ayrı ayrı ara; listing sonuçlarını yalnız keşif için kullan.</x:v>
      </x:c>
      <x:c r="L49" s="19" t="str">
        <x:v>YANLIŞ FİRMA</x:v>
      </x:c>
      <x:c r="M49" s="20" t="str">
        <x:v>Aday site farklı şirket, sektör, ülke veya tüzel kişi gösterdi; homonim/şirket sahibi uyuşmazlığı nedeniyle yayımlanmadı.</x:v>
      </x:c>
      <x:c r="N49" s="8" t="str">
        <x:v>https://www.maktekfuari.com/brand/bilgin-mekatronik-mak-san-tic-ltd-sti</x:v>
      </x:c>
      <x:c r="O49" s="3" t="str">
        <x:v>9</x:v>
      </x:c>
      <x:c r="P49" s="3" t="str">
        <x:v>917</x:v>
      </x:c>
    </x:row>
    <x:row r="50">
      <x:c r="A50" s="3" t="str">
        <x:v>EYM İNOVASYON MAKİNA SAN. TİC. LTD. ŞTİ.</x:v>
      </x:c>
      <x:c r="B50" s="3" t="str">
        <x:v>MANUAL_WRONG_CANDIDATE</x:v>
      </x:c>
      <x:c r="C50" s="3"/>
      <x:c r="D50" s="3" t="str">
        <x:v>https://eymmakina.com.tr</x:v>
      </x:c>
      <x:c r="E50" s="3"/>
      <x:c r="F50" s="3"/>
      <x:c r="G50" s="3" t="str">
        <x:v>‎+90 533 635 15 26</x:v>
      </x:c>
      <x:c r="H50" s="3" t="str">
        <x:v>DOĞRU RESMÎ SİTE BULUNAMADI</x:v>
      </x:c>
      <x:c r="I50" s="3" t="str">
        <x:v>C</x:v>
      </x:c>
      <x:c r="J50" s="8" t="str">
        <x:v>Kullanıcı manuel incelemesi: doğru resmî web sitesi bulunamadı; önceki aday doğrulanamadığı için iletişim bilgileri yayımlanmadı.</x:v>
      </x:c>
      <x:c r="K50" s="8" t="str">
        <x:v>Yeni resmî sahiplik kanıtı bulunana kadar yayımlama; ticari unvan + adres/telefon ile arama yap.</x:v>
      </x:c>
      <x:c r="L50" s="19" t="str">
        <x:v>YANLIŞ FİRMA</x:v>
      </x:c>
      <x:c r="M50" s="20" t="str">
        <x:v>Aday site farklı şirket, sektör, ülke veya tüzel kişi gösterdi; homonim/şirket sahibi uyuşmazlığı nedeniyle yayımlanmadı.</x:v>
      </x:c>
      <x:c r="N50" s="8" t="str">
        <x:v>https://www.maktekfuari.com/brand/eym-inovasyon-makina-san-tic-ltd-sti</x:v>
      </x:c>
      <x:c r="O50" s="3" t="str">
        <x:v>12A</x:v>
      </x:c>
      <x:c r="P50" s="3" t="str">
        <x:v>02</x:v>
      </x:c>
    </x:row>
    <x:row r="51">
      <x:c r="A51" s="3" t="str">
        <x:v>JOKER KESİCİ TAKIMLAR SAN. VE TİC. LTD. ŞTİ.</x:v>
      </x:c>
      <x:c r="B51" s="3" t="str">
        <x:v>MANUAL_WRONG_CANDIDATE</x:v>
      </x:c>
      <x:c r="C51" s="3"/>
      <x:c r="D51" s="3" t="str">
        <x:v>https://bmgkesicitakimlar.com</x:v>
      </x:c>
      <x:c r="E51" s="3"/>
      <x:c r="F51" s="3"/>
      <x:c r="G51" s="3" t="str">
        <x:v>‎+90 262 658 26 38</x:v>
      </x:c>
      <x:c r="H51" s="3" t="str">
        <x:v>WEBSITE BULUNAMADI</x:v>
      </x:c>
      <x:c r="I51" s="3" t="str">
        <x:v>C</x:v>
      </x:c>
      <x:c r="J51" s="8" t="str">
        <x:v>No candidate passed score threshold</x:v>
      </x:c>
      <x:c r="K51" s="8" t="str">
        <x:v>Tam ticari unvanı, fuar telefonu ve adres parçalarını ayrı ayrı ara; listing sonuçlarını yalnız keşif için kullan.</x:v>
      </x:c>
      <x:c r="L51" s="19" t="str">
        <x:v>YANLIŞ FİRMA</x:v>
      </x:c>
      <x:c r="M51" s="20" t="str">
        <x:v>Aday site farklı şirket, sektör, ülke veya tüzel kişi gösterdi; homonim/şirket sahibi uyuşmazlığı nedeniyle yayımlanmadı.</x:v>
      </x:c>
      <x:c r="N51" s="8" t="str">
        <x:v>https://www.maktekfuari.com/brand/joker-kesici-takimlar-san-ve-tic-ltd-sti</x:v>
      </x:c>
      <x:c r="O51" s="3" t="str">
        <x:v>11</x:v>
      </x:c>
      <x:c r="P51" s="3" t="str">
        <x:v>1140</x:v>
      </x:c>
    </x:row>
    <x:row r="52">
      <x:c r="A52" s="9" t="str">
        <x:v>SEZGİN LAZER MAKİNE SAN. VE TİC. LTD. ŞTİ.</x:v>
      </x:c>
      <x:c r="B52" s="9" t="str">
        <x:v>MANUAL_WRONG_CANDIDATE</x:v>
      </x:c>
      <x:c r="C52" s="9"/>
      <x:c r="D52" s="9" t="str">
        <x:v>https://sezginlermakina.com.tr</x:v>
      </x:c>
      <x:c r="E52" s="9"/>
      <x:c r="F52" s="9"/>
      <x:c r="G52" s="9"/>
      <x:c r="H52" s="9" t="str">
        <x:v>WEBSITE BULUNAMADI</x:v>
      </x:c>
      <x:c r="I52" s="9" t="str">
        <x:v>C</x:v>
      </x:c>
      <x:c r="J52" s="10" t="str">
        <x:v>No candidate passed score threshold</x:v>
      </x:c>
      <x:c r="K52" s="10" t="str">
        <x:v>Tam ticari unvanı, fuar telefonu ve adres parçalarını ayrı ayrı ara; listing sonuçlarını yalnız keşif için kullan.</x:v>
      </x:c>
      <x:c r="L52" s="21" t="str">
        <x:v>YANLIŞ FİRMA</x:v>
      </x:c>
      <x:c r="M52" s="22" t="str">
        <x:v>Aday site farklı şirket, sektör, ülke veya tüzel kişi gösterdi; homonim/şirket sahibi uyuşmazlığı nedeniyle yayımlanmadı.</x:v>
      </x:c>
      <x:c r="N52" s="10" t="str">
        <x:v>https://www.maktekfuari.com/brand/sezgin-lazer-makine-san-ve-tic-ltd-sti</x:v>
      </x:c>
      <x:c r="O52" s="9" t="str">
        <x:v>2</x:v>
      </x:c>
      <x:c r="P52" s="9" t="str">
        <x:v>205</x:v>
      </x:c>
    </x:row>
  </x:sheetData>
  <x:dataValidations count="1">
    <x:dataValidation type="list" sqref="L2:L52">
      <x:formula1>"RESMÎ SİTE ONAY,YANLIŞ FİRMA,RESMÎ SİTE YOK,KANIT YETERSİZ,YENİDEN TARA"</x:formula1>
    </x:dataValidation>
  </x:dataValidations>
  <x:pageMargins left="0.7" right="0.7" top="0.75" bottom="0.75" header="0.3" footer="0.3"/>
  <x:tableParts count="1">
    <x:tablePart xmlns:r="http://schemas.openxmlformats.org/officeDocument/2006/relationships" r:id="R0190975765e1492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22" hidden="0" customWidth="1"/>
    <x:col min="4" max="4" width="52" hidden="0" customWidth="1"/>
    <x:col min="5" max="5" width="52" hidden="0" customWidth="1"/>
    <x:col min="6" max="6" width="10" hidden="0" customWidth="1"/>
    <x:col min="7" max="7" width="12" hidden="0" customWidth="1"/>
    <x:col min="8" max="8" width="32" hidden="0" customWidth="1"/>
    <x:col min="9" max="9" width="36" hidden="0" customWidth="1"/>
    <x:col min="10" max="10" width="70" hidden="0" customWidth="1"/>
  </x:cols>
  <x:sheetData>
    <x:row r="1" ht="30" customHeight="1">
      <x:c r="A1" s="7" t="str">
        <x:v>Firma</x:v>
      </x:c>
      <x:c r="B1" s="7" t="str">
        <x:v>Fuarın verdiği web sitesi</x:v>
      </x:c>
      <x:c r="C1" s="7" t="str">
        <x:v>Fuar telefon referansı</x:v>
      </x:c>
      <x:c r="D1" s="7" t="str">
        <x:v>Fuar profil sayfası</x:v>
      </x:c>
      <x:c r="E1" s="7" t="str">
        <x:v>Adres</x:v>
      </x:c>
      <x:c r="F1" s="7" t="str">
        <x:v>Salon</x:v>
      </x:c>
      <x:c r="G1" s="7" t="str">
        <x:v>Stant</x:v>
      </x:c>
      <x:c r="H1" s="7" t="str">
        <x:v>Markalar</x:v>
      </x:c>
      <x:c r="I1" s="7" t="str">
        <x:v>Temsilcilikler</x:v>
      </x:c>
      <x:c r="J1" s="7" t="str">
        <x:v>Açıklama</x:v>
      </x:c>
    </x:row>
    <x:row r="2">
      <x:c r="A2" s="3" t="str">
        <x:v>3B DİZAYN BİLGİSAYAR MAKİNA KALIP MODEL TAS. SAN. VE TİC. LTD. ŞTİ.</x:v>
      </x:c>
      <x:c r="B2" s="3" t="str">
        <x:v>https://www.topsolid.com/tr</x:v>
      </x:c>
      <x:c r="C2" s="3" t="str">
        <x:v>‎+90 216 470 06 80</x:v>
      </x:c>
      <x:c r="D2" s="3" t="str">
        <x:v>https://www.maktekfuari.com/brand/3b-dizayn-bilgisayar-makina-kalip-model-tas-san-ve-tic-ltd-sti</x:v>
      </x:c>
      <x:c r="E2" s="8" t="str">
        <x:v>Fetih Mah. Tahralı Sok. Kavakyeli İş Merk. No: 2-7A D: 6</x:v>
      </x:c>
      <x:c r="F2" s="3" t="str">
        <x:v>12</x:v>
      </x:c>
      <x:c r="G2" s="3" t="str">
        <x:v>1220 A</x:v>
      </x:c>
      <x:c r="H2" s="8" t="str">
        <x:v>TopSolid TÜRKİYE</x:v>
      </x:c>
      <x:c r="I2" s="8" t="str">
        <x:v>TopSolid SAS</x:v>
      </x:c>
      <x:c r="J2" s="8" t="str">
        <x:v>Fransa merkezli, 40 yıldır TopSolid yazılımını geliştirmeye devam eden, Entegre CAD/CAM/ERP Yazılımı.</x:v>
      </x:c>
    </x:row>
    <x:row r="3">
      <x:c r="A3" s="3" t="str">
        <x:v>3D TEKNO MARKET ANONIM SIRKETI</x:v>
      </x:c>
      <x:c r="B3" s="3" t="str">
        <x:v>https://www.3dteknomarket.com</x:v>
      </x:c>
      <x:c r="C3" s="3" t="str">
        <x:v>‎+90 216 315 33 33</x:v>
      </x:c>
      <x:c r="D3" s="3" t="str">
        <x:v>https://www.maktekfuari.com/brand/3d-tekno-market-anonim-sirketi</x:v>
      </x:c>
      <x:c r="E3" s="8" t="str">
        <x:v>Kale mahallesi, 352 Sok no:11/A, 20170 Pamukkale/Denizli</x:v>
      </x:c>
      <x:c r="F3" s="3" t="str">
        <x:v>11A</x:v>
      </x:c>
      <x:c r="G3" s="3" t="str">
        <x:v>23</x:v>
      </x:c>
      <x:c r="H3" s="8"/>
      <x:c r="I3" s="8"/>
      <x:c r="J3" s="8" t="str">
        <x:v>3D Tekno Market, 1999 yılından bu yana faaliyet gösteren Aysu Grup’un tecrübesiyle 2022 yılında kurulmuştur. 3D yazıcı, 3D tarayıcı, filament ve sarf malzemeleri alanında satış, teknik destek ve servis hizmetleri sunmaktadır. İstanbul ve Denizli operasyon merkezlerimizin yanı sıra İstanbul Bakırköy, İstanbul Kadıköy, İzmir ve Gaziantep mağazalarımızla bireysel ve kurumsal müşterilerimize hızlı ve güvenilir çözümler sağlıyoruz. Elegoo, Flashforge, HeyGears, Revopoint ve Bambu Lab gibi markaların resmi distribütörü ve/veya yetkili satıcısı olarak satış sonrası destek ve garanti süreçlerinde kesintisiz hizmet sunuyoruz.</x:v>
      </x:c>
    </x:row>
    <x:row r="4">
      <x:c r="A4" s="3" t="str">
        <x:v>5T5 MAKİNA SAN VE TİC AŞ</x:v>
      </x:c>
      <x:c r="B4" s="3" t="str">
        <x:v>https://www.5t5makina.com</x:v>
      </x:c>
      <x:c r="C4" s="3" t="str">
        <x:v>‎+90 352 311 45 55</x:v>
      </x:c>
      <x:c r="D4" s="3" t="str">
        <x:v>https://www.maktekfuari.com/brand/5t5-makina-san-ve-tic-as</x:v>
      </x:c>
      <x:c r="E4" s="8" t="str">
        <x:v>Organize Sanayi Bölgesi 18.Cad. No:40?Melikgazi / KAYSERİ</x:v>
      </x:c>
      <x:c r="F4" s="3" t="str">
        <x:v>12A</x:v>
      </x:c>
      <x:c r="G4" s="3" t="str">
        <x:v>37</x:v>
      </x:c>
      <x:c r="H4" s="8" t="str">
        <x:v>Bodor Laser</x:v>
      </x:c>
      <x:c r="I4" s="8"/>
      <x:c r="J4" s="8" t="str">
        <x:v>Üreten Makinalar Üretiyoruz.</x:v>
      </x:c>
    </x:row>
    <x:row r="5">
      <x:c r="A5" s="3" t="str">
        <x:v>ABBA TEKNOLOJİ YAZILIM HİZMETLERİ SANAYİ VE TİCARET LİMİTED ŞİRKETİ</x:v>
      </x:c>
      <x:c r="B5" s="3" t="str">
        <x:v>https://www.abbateknoloji.com/</x:v>
      </x:c>
      <x:c r="C5" s="3" t="str">
        <x:v>‎+90 850 319 36 69</x:v>
      </x:c>
      <x:c r="D5" s="3" t="str">
        <x:v>https://www.maktekfuari.com/brand/abba-teknoloji-yazilim-hizmetleri-sanayi-ve-ticaret-limited-sirketi</x:v>
      </x:c>
      <x:c r="E5" s="8" t="str">
        <x:v>Kordonboyu Mah. Ankara Cad. No: 147 B Blok / 275 Merkez</x:v>
      </x:c>
      <x:c r="F5" s="3" t="str">
        <x:v>12</x:v>
      </x:c>
      <x:c r="G5" s="3" t="str">
        <x:v>1214</x:v>
      </x:c>
      <x:c r="H5" s="8"/>
      <x:c r="I5" s="8" t="str">
        <x:v>GO2CAM INTERNATIONAL</x:v>
      </x:c>
      <x:c r="J5" s="8" t="str">
        <x:v>Neden ABBA Teknoloji ? Dünyayı değiştiren ürünler yapmanın daha iyi bir yolu olduğuna inanıyoruz. Kullanılan araçlara, eğitime veya sadece farklı bir bakış açısına ihtiyacınız olsun, biz sizin için buradayız. Gelin birlikte yenilikçi bir şeyler yapalım. OLAĞANÜSTÜ ÇÖZÜMLER, DAHA İYİ DESTEK 2018’den beri sizler gibi yenilikçilere hizmet veriyoruz, çünkü biz de sizler gibiyiz. Biz beden dersinde sanayiye giden çocuklarız. Her zaman kalıpları kıran ve sınırları kontrol eden çocuklarız. Biz meraklı, amansız ve hayal gücümüz var. Ama hepsinden önemlisi, sürekli olarak yeni fırsatlar ve sürekli büyüme arayışındayız. Kendin yap zihniyeti üzerine inşa edilmiş olsak da (sizin de böyle olduğunuzu biliyoruz), büyümeyi teşvik etmenin ve başarıya ulaşmanın özel, deneyimli bir ekip gerektirdiğinin farkındayız. İşte biz burada devreye giriyoruz.</x:v>
      </x:c>
    </x:row>
    <x:row r="6">
      <x:c r="A6" s="3" t="str">
        <x:v>ABKTEKNİK İMALAT VE MÜH ÇÖZÜMLERİ LTD.ŞTİ</x:v>
      </x:c>
      <x:c r="B6" s="3" t="str">
        <x:v>https://www.abkteknik.com/</x:v>
      </x:c>
      <x:c r="C6" s="3" t="str">
        <x:v>‎+90 212 549 39 81</x:v>
      </x:c>
      <x:c r="D6" s="3" t="str">
        <x:v>https://www.maktekfuari.com/brand/abkteknik-imalat-ve-muh-cozumleri-ltdsti</x:v>
      </x:c>
      <x:c r="E6" s="8" t="str">
        <x:v>Mall Of Istanbul The Office Plaza Ziya Gökalp Mah. Süleyman Demirel Bulvarı No: 7 Kat: 23 D: 162 34490</x:v>
      </x:c>
      <x:c r="F6" s="3" t="str">
        <x:v>12</x:v>
      </x:c>
      <x:c r="G6" s="3" t="str">
        <x:v>1217</x:v>
      </x:c>
      <x:c r="H6" s="8"/>
      <x:c r="I6" s="8"/>
      <x:c r="J6" s="8" t="str">
        <x:v>ABKTeknik İmalat ve Mühendislik Çözümleri Ltd. Şti., CAD / CAM / CAE alanında 20 yılı aşkın deneyimiyle mühendislik ve üretim süreçlerine değer katan çözümler sunmaktadır. SOLIDWORKS ve CAMWorks Türkiye Distribütörü olarak; tasarımdan üretime uzanan dijital üretim süreçlerinde işletmelere güvenilir yazılım ve mühendislik çözümleri sağlamaktadır. ABKTeknik, yalnızca yazılım lisansları sunmakla kalmaz; üretim süreçlerine en uygun teknolojinin belirlenmesi, kurulum ve eğitim süreçlerinin yönetilmesiyle işletmelerin verimliliğini ve rekabet gücünü artırmayı hedefler. Ayrıca Lenovo, DELL ve HP yetkili iş ortağı olarak mühendislik uygulamaları için yüksek performanslı iş istasyonu çözümleri de sunmaktadır.</x:v>
      </x:c>
    </x:row>
    <x:row r="7">
      <x:c r="A7" s="3" t="str">
        <x:v>ABM MAKİNE SAN. VE TİC. A.Ş.</x:v>
      </x:c>
      <x:c r="B7" s="3" t="str">
        <x:v>https://www.abmgrinding.com/en</x:v>
      </x:c>
      <x:c r="C7" s="3" t="str">
        <x:v>‎+90 232 782 66 44</x:v>
      </x:c>
      <x:c r="D7" s="3" t="str">
        <x:v>https://www.maktekfuari.com/brand/abm-makine-san-ve-tic-as</x:v>
      </x:c>
      <x:c r="E7" s="8" t="str">
        <x:v>İTOB OSB Mah. Atatürk Cad. No: 56 35471</x:v>
      </x:c>
      <x:c r="F7" s="3" t="str">
        <x:v>12</x:v>
      </x:c>
      <x:c r="G7" s="3" t="str">
        <x:v>1228</x:v>
      </x:c>
      <x:c r="H7" s="8"/>
      <x:c r="I7" s="8"/>
      <x:c r="J7" s="8" t="str">
        <x:v>1965 yılında bileme makineleri imalatı ile ağaç işleme makineleri endüstrisindeki faaliyetlerine başlayan ABM Makine, gerçekleştirdiği yatırımlar ve kaliteli hizmet anlayışı ile bugün bileme makineleri ve kaynak makineleri üretimiyle metal ve ağaç işleme makineleri sektörlerinde dünyada en fazla ürün çeşitliliğine sahip firmadır. Temelleri İzmir'de kurucumuz Saim Keşoğlu tarafından 150 m²'lik bir alanda atılan ABM, üç kuşaktır kendisini yenileyerek ilerlemekte ve İTOB OSB’de 20.000 m²'lik fabrikasında faaliyetlerini ve yeni teknoloji yatırımlarını sürdürmektedir. Teknik servis ve satış sonrası verdiği desteklerin yanı sıra Hollanda, İngiltere, Hindistan, Makedonya ve Polonya'daki satış ofisleriyle birlikte global bir şirket olma yolunda emin adımlarla ilerlemektedir.</x:v>
      </x:c>
    </x:row>
    <x:row r="8">
      <x:c r="A8" s="3" t="str">
        <x:v>ADDVALUE EKLEMELI IMALAT VE MAKINA ROBOT SISTEMLERI SANAYI VE TICARET LIMITED SIRKETI</x:v>
      </x:c>
      <x:c r="B8" s="3" t="str">
        <x:v>https://www.addvalue.com.tr</x:v>
      </x:c>
      <x:c r="C8" s="3" t="str">
        <x:v>‎+90 533 627 59 07</x:v>
      </x:c>
      <x:c r="D8" s="3" t="str">
        <x:v>https://www.maktekfuari.com/brand/addvalue-eklemeli-imalat-ve-makina-robot-sistemleri-sanayi-ve-ticaret-limited-sirketi</x:v>
      </x:c>
      <x:c r="E8" s="8" t="str">
        <x:v>Mehmet Emin Erdoğan İş merkezi Macun mah. Bağdat cad. 93/95 06105 Yenimahalle Ankara / Türkiye</x:v>
      </x:c>
      <x:c r="F8" s="3" t="str">
        <x:v>9</x:v>
      </x:c>
      <x:c r="G8" s="3" t="str">
        <x:v>922</x:v>
      </x:c>
      <x:c r="H8" s="8"/>
      <x:c r="I8" s="8"/>
      <x:c r="J8" s="8" t="str">
        <x:v>AddValue Eklemeli İmalat, katmanlı imalat sistemlerinin —genellikle 3D yazıcı ve torna, freze gibi işleme makineleri olarak bilinen— tam benimsenmesi ve sektörler arası sorunsuz entegrasyonuna odaklanmış öncü bir mühendislik firmasıdır. Metal katmanlı imalat ve işleme sistemlerine odaklanan AddValue, CNC torna ve freze makinesi satışları ile entegrasyonunda Türkiye’nin güvenilir iş ortağıdır. EMCO ve Asia CNC markaları altında geniş bir makine portföyüne sahip olan firmamız, küçük atölyelerden büyük sanayi tesislerine kadar her ölçekteki üretime hizmet vermektedir. Makine satışlarının ötesinde, ekipmanlarınızın maksimum performansını sağlamak için kurulum, devreye alma, operatör eğitimi ve periyodik bakım hizmetleri sunuyoruz. Metal katmanlı imalat sistemleri ve otonom temizleme robotları ürün yelpazemizi tamamlamakta olup, CNC çözümleri faaliyetlerimizin temelini oluşturmaktadır.</x:v>
      </x:c>
    </x:row>
    <x:row r="9">
      <x:c r="A9" s="3" t="str">
        <x:v>ADİL MAKİNA SAN.VE TİC.N ADİL ÜNAL</x:v>
      </x:c>
      <x:c r="B9" s="3" t="str">
        <x:v>https://www.adilmakina.com.tr/</x:v>
      </x:c>
      <x:c r="C9" s="3" t="str">
        <x:v>‎+90 212 577 14 09</x:v>
      </x:c>
      <x:c r="D9" s="3" t="str">
        <x:v>https://www.maktekfuari.com/brand/adil-makina-sanve-ticn-adil-unal</x:v>
      </x:c>
      <x:c r="E9" s="8" t="str">
        <x:v>Yeşilce Mah. Aytekin Sok. No: 12/1</x:v>
      </x:c>
      <x:c r="F9" s="3" t="str">
        <x:v>7</x:v>
      </x:c>
      <x:c r="G9" s="3" t="str">
        <x:v>714</x:v>
      </x:c>
      <x:c r="H9" s="8"/>
      <x:c r="I9" s="8" t="str">
        <x:v>FAIR FRIEND ENT.CO.LTD MACHINE TOOL DIVISION</x:v>
      </x:c>
      <x:c r="J9" s="8" t="str">
        <x:v>Adil Makina, İstanbul Bayrampaşa’da 1974 yılından bu yana Universal ve CNC tezgahlarının ticareti konusunda faaliyet göstermektedir. Adil Makina geniş ürün gamı ile dikkat çekiyor 52 yıl önce Universal ve CNC tezgahı sektöründe pek çok ilke imza atarak kurulan Adil Makine, bugün geldiği noktada Türk Sanayicisi ile güç birliği içerisinde ülke ekonomisine destek olmaya devam etmektedir. Kurulduğu günden bugüne kadar müşteri memnuniyetini ve kaliteli ürün satışlarını geliştirmeye yönelik çalışmalarda bulunan Adil Makina, CNC Torna, CNC İşleme, Universal Torna, Freze, Taşlama, Matkap, BorweRk, Erezyon, Planya, Testere gibi makinaların ithalatı ve satışını yaparak müşterilerine çözüm sunuyor.</x:v>
      </x:c>
    </x:row>
    <x:row r="10">
      <x:c r="A10" s="3" t="str">
        <x:v>ADİL TESTERE MAKİNE A.Ş.</x:v>
      </x:c>
      <x:c r="B10" s="3" t="str">
        <x:v>https://www.adiltestere.com</x:v>
      </x:c>
      <x:c r="C10" s="3" t="str">
        <x:v>‎+90 532 481 92 33</x:v>
      </x:c>
      <x:c r="D10" s="3" t="str">
        <x:v>https://www.maktekfuari.com/brand/adil-testere-makine-as</x:v>
      </x:c>
      <x:c r="E10" s="8" t="str">
        <x:v>Süleyman Şah Caddesi No:97, İvedik OSB</x:v>
      </x:c>
      <x:c r="F10" s="3" t="str">
        <x:v>1</x:v>
      </x:c>
      <x:c r="G10" s="3" t="str">
        <x:v>107</x:v>
      </x:c>
      <x:c r="H10" s="8" t="str">
        <x:v>Eberle</x:v>
      </x:c>
      <x:c r="I10" s="8" t="str">
        <x:v>J.N. Eberle Cie. GmbH</x:v>
      </x:c>
      <x:c r="J10" s="8" t="str">
        <x:v>Adil Testere, 1991 yılında Ankara Ostim Organize Sanayi Bölgesi’nde kurulmuştur. 1997 yılında İvedik’te açtığımız perakende mağaza ve bileme atölyesiyle hizmet ağımızı genişlettik. Kuruluşumuzdan bu yana yüksek teknolojiye yatırım yaparak, makine parkurumuzu sürekli güncel tuttuk ve yüksek performanslı şerit testereler ürettik. 2001 yılında testere tezgahlarının bakım ve onarım hizmetlerini de sunmaya başlayarak, testereyle ilgili tüm ihtiyaçlara tek noktadan çözüm sunan bir yapıya geçtik. 2004 yılında ise “Testereye Dair Her Şey” sloganıyla şerit ve daire testere tezgahlarının stoktan satışına başladık. 2016 yılında kendi markamız Powercut’ı Almanya’da son teknolojiyle üretmeye başladık. 2020’de ise Eberle markasının Türkiye tek yetkili distribütörü olduk. Bugün, Powercut ve Eberle markalarımızla, Türkiye genelindeki güçlü bayi ağımızla sektöre kalite, güven ve uzmanlık sunmaya devam ediyoruz.</x:v>
      </x:c>
    </x:row>
    <x:row r="11">
      <x:c r="A11" s="3" t="str">
        <x:v>ADLER MAKİNA METAL İŞLEME SAN. VE TİC. A.Ş.</x:v>
      </x:c>
      <x:c r="B11" s="3" t="str">
        <x:v>https://www.adlermetal.com</x:v>
      </x:c>
      <x:c r="C11" s="3" t="str">
        <x:v>‎+90 533 935 31 31</x:v>
      </x:c>
      <x:c r="D11" s="3" t="str">
        <x:v>https://www.maktekfuari.com/brand/adler-makina-metal-isleme-san-ve-tic-as</x:v>
      </x:c>
      <x:c r="E11" s="8" t="str">
        <x:v>ERBİLLER SAN.SİT.B BLOK NO:3</x:v>
      </x:c>
      <x:c r="F11" s="3" t="str">
        <x:v>2</x:v>
      </x:c>
      <x:c r="G11" s="3" t="str">
        <x:v>225A</x:v>
      </x:c>
      <x:c r="H11" s="8" t="str">
        <x:v>ADLER</x:v>
      </x:c>
      <x:c r="I11" s="8" t="str">
        <x:v>MUBEA TELLERFEDERN GMBH; STARRETT IND&amp;COM LTDA</x:v>
      </x:c>
      <x:c r="J11" s="8"/>
    </x:row>
    <x:row r="12">
      <x:c r="A12" s="3" t="str">
        <x:v>AGP ENERJİ MÜH. İNŞ. TAAH. SAN. VE TİC. A.Ş.</x:v>
      </x:c>
      <x:c r="B12" s="3"/>
      <x:c r="C12" s="3"/>
      <x:c r="D12" s="3" t="str">
        <x:v>https://www.maktekfuari.com/brand/agp-enerji-muh-ins-taah-san-ve-tic-as</x:v>
      </x:c>
      <x:c r="E12" s="8"/>
      <x:c r="F12" s="3" t="str">
        <x:v>9</x:v>
      </x:c>
      <x:c r="G12" s="3" t="str">
        <x:v>912</x:v>
      </x:c>
      <x:c r="H12" s="8"/>
      <x:c r="I12" s="8"/>
      <x:c r="J12" s="8"/>
    </x:row>
    <x:row r="13">
      <x:c r="A13" s="3" t="str">
        <x:v>AIRON ENDÜSTRİ MAKİNA SANAYİ VE TİCARET LİMİTED ŞİRKETİ</x:v>
      </x:c>
      <x:c r="B13" s="3"/>
      <x:c r="C13" s="3"/>
      <x:c r="D13" s="3" t="str">
        <x:v>https://www.maktekfuari.com/brand/airon-endustri-makina-sanayi-ve-ticaret-limited-sirketi</x:v>
      </x:c>
      <x:c r="E13" s="8"/>
      <x:c r="F13" s="3" t="str">
        <x:v>12A</x:v>
      </x:c>
      <x:c r="G13" s="3" t="str">
        <x:v>43</x:v>
      </x:c>
      <x:c r="H13" s="8"/>
      <x:c r="I13" s="8"/>
      <x:c r="J13" s="8"/>
    </x:row>
    <x:row r="14">
      <x:c r="A14" s="3" t="str">
        <x:v>AJANS ORGANİZE KAMURAN TECİMEN</x:v>
      </x:c>
      <x:c r="B14" s="3" t="str">
        <x:v>https://www.ajansorganize.com</x:v>
      </x:c>
      <x:c r="C14" s="3" t="str">
        <x:v>‎+90 212 671 21 47</x:v>
      </x:c>
      <x:c r="D14" s="3" t="str">
        <x:v>https://www.maktekfuari.com/brand/ajans-organize-kamuran-tecimen</x:v>
      </x:c>
      <x:c r="E14" s="8" t="str">
        <x:v>İkitelli O.S.B. Triko Center San. Sit. Sos. Tes. No:10 Başakşehir / İST.</x:v>
      </x:c>
      <x:c r="F14" s="3" t="str">
        <x:v>SalonNo</x:v>
      </x:c>
      <x:c r="G14" s="3" t="str">
        <x:v>StandNo</x:v>
      </x:c>
      <x:c r="H14" s="8"/>
      <x:c r="I14" s="8"/>
      <x:c r="J14" s="8" t="str">
        <x:v>Organize Dergisi yayıncılığı</x:v>
      </x:c>
    </x:row>
    <x:row r="15">
      <x:c r="A15" s="3" t="str">
        <x:v>AJANSMİK FUARCILIK VE MEDYA HİZMETLERİ LİMİTED ŞİRKETİ</x:v>
      </x:c>
      <x:c r="B15" s="3" t="str">
        <x:v>https://ajansmik.com/</x:v>
      </x:c>
      <x:c r="C15" s="3" t="str">
        <x:v>‎+90 554 498 18 78</x:v>
      </x:c>
      <x:c r="D15" s="3" t="str">
        <x:v>https://www.maktekfuari.com/brand/ajansmik-fuarcilik-ve-medya-hizmetleri-limited-sirketi</x:v>
      </x:c>
      <x:c r="E15" s="8" t="str">
        <x:v>Maslak Mah. Maslak Meydan Sok. Beybi Giz Plaza A Blok No:1 İç Kapı No:99 P.K.34485</x:v>
      </x:c>
      <x:c r="F15" s="3" t="str">
        <x:v>SalonNo</x:v>
      </x:c>
      <x:c r="G15" s="3" t="str">
        <x:v>StandNo</x:v>
      </x:c>
      <x:c r="H15" s="8" t="str">
        <x:v>AJANSMİK FUARCILIK VE MEDYA HİZMETLERİ LTD. ŞTİ.</x:v>
      </x:c>
      <x:c r="I15" s="8"/>
      <x:c r="J15" s="8" t="str">
        <x:v>AjansMik Hakkında 1989 yılında kurulan AjansMik, sanayi ve üretim sektörlerine yönelik yayıncılık ve medya hizmetleri sunan köklü bir kuruluştur. MetalMakina, Hidrolik&amp;Pnömatik, Haber Endüstri gibi sektörel dergileriyle tanınan AjansMik; basılı ve dijital yayınları, fuar özel ekleri, ürün tanıtım haberleri ve teknik içerikleriyle binlerce profesyonele ulaşmaktadır. Yayınları edergi.ajansmik.com, magzter.com ve sosyal medya kanalları üzerinden geniş kitlelere erişmektedir. Sektörel fuarlarda hazırladığı yayınlarla firmalara güçlü bir tanıtım alanı sunar. AjansMik, sektörel iletişimi güçlendiren stratejik medya çözümleriyle sanayiye değer katmaya devam etmektedir.</x:v>
      </x:c>
    </x:row>
    <x:row r="16">
      <x:c r="A16" s="3" t="str">
        <x:v>AK MAKİNA SAN VE TİC LTD ŞTİ</x:v>
      </x:c>
      <x:c r="B16" s="3" t="str">
        <x:v>https://www.akmakina.com.tr/</x:v>
      </x:c>
      <x:c r="C16" s="3" t="str">
        <x:v>‎+90 212 612 87 00</x:v>
      </x:c>
      <x:c r="D16" s="3" t="str">
        <x:v>https://www.maktekfuari.com/brand/ak-makina-san-ve-tic-ltd-sti</x:v>
      </x:c>
      <x:c r="E16" s="8" t="str">
        <x:v>Abdi İpekçi Caddesi No: 58</x:v>
      </x:c>
      <x:c r="F16" s="3" t="str">
        <x:v>8</x:v>
      </x:c>
      <x:c r="G16" s="3" t="str">
        <x:v>805</x:v>
      </x:c>
      <x:c r="H16" s="8"/>
      <x:c r="I16" s="8" t="str">
        <x:v>HANWA SEMITECH; AKIRA SEIKI CO, LTD; KAO FONG MACHINERY CO, LTD; PALMARY MACHINERY CO. LTD; HARTECH; HYUNDAI WIA CORPORATION; HYUNDAI ROBOTICS; AXILE; ZOPO</x:v>
      </x:c>
      <x:c r="J16" s="8" t="str">
        <x:v>1981 yılında kurulan Ak Makina, dünden bugüne üretim sanayisine yüksek teknoloji makineler sunan bir firmadır. Hyundai Wia , Hanwha, Kafo, Akira Seiki, Hartech, Palmary marka Cnc makinaların satışını yapmakta ve havacılık, savunma sanayi, medikal, otomotiv, metal ve kalıp sanayi gibi daha birçok sektörün en iyi çözüm ortağıdır. Müşteri memnuniyetini temel ilkesi olarak benimseyerek en hızlı ve dürüst hizmet anlayışı ile satış sonrası servis ile sanayiye hizmet vermeye devam etmektedir.</x:v>
      </x:c>
    </x:row>
    <x:row r="17">
      <x:c r="A17" s="3" t="str">
        <x:v>AKBAL MAKİNA END.SAN. VE DIŞ TİC.LTD.ŞTİ.</x:v>
      </x:c>
      <x:c r="B17" s="3" t="str">
        <x:v>https://www.akbalmakina.com/</x:v>
      </x:c>
      <x:c r="C17" s="3" t="str">
        <x:v>‎+90 532 699 12 24</x:v>
      </x:c>
      <x:c r="D17" s="3" t="str">
        <x:v>https://www.maktekfuari.com/brand/akbal-makina-endsan-ve-dis-ticltdsti</x:v>
      </x:c>
      <x:c r="E17" s="8" t="str">
        <x:v>Akçaburgaz Mah. Alkop Yolu Üzeri 319. Sok. No: 86-88/2 Esenyurt</x:v>
      </x:c>
      <x:c r="F17" s="3" t="str">
        <x:v>5</x:v>
      </x:c>
      <x:c r="G17" s="3" t="str">
        <x:v>506</x:v>
      </x:c>
      <x:c r="H17" s="8" t="str">
        <x:v>Mastertech</x:v>
      </x:c>
      <x:c r="I17" s="8" t="str">
        <x:v>HCM</x:v>
      </x:c>
      <x:c r="J17" s="8" t="str">
        <x:v>Akbal Makina, kurumsal bir kimliğe sahip olmak adına genç, dinamik ve tecrübeli kadrosu ile sektörün önde gelen firmaları arasında yer almayı kendine hedef belirlemiş bir kuruluştur. Ekip olarak, sektörün ihtiyaçları doğrultusunda bayiiliğini yapmakta olduğumuz dünya çapında saygın firmalar ile daima ARaştırma – GEliştirme faaliyetlerinde bulunarak yenilikçi ve rekabetçi satış politikası ile yurtiçi ve yurtdışı müşteri portföyümüzde bulunan siz değerli müşterilerimize en iyi fiyat, kalite ve hizmeti sunmak öncelikli ilkelerimizdendir. Siz değerli müşterilerimizin firmamıza olan ilgi, alaka ve güvenine teşekkür ederiz.</x:v>
      </x:c>
    </x:row>
    <x:row r="18">
      <x:c r="A18" s="3" t="str">
        <x:v>AKERMAK TEKNİK HIRDAVAT VE ENDÜSTRİYEL ÜRÜNLERİ SAN. VE TİC. A. Ş.</x:v>
      </x:c>
      <x:c r="B18" s="3" t="str">
        <x:v>https://www.akermak.com/</x:v>
      </x:c>
      <x:c r="C18" s="3" t="str">
        <x:v>‎+90 224 443 24 24</x:v>
      </x:c>
      <x:c r="D18" s="3" t="str">
        <x:v>https://www.maktekfuari.com/brand/akermak-teknik-hirdavat-ve-endustriyel-urunleri-san-ve-tic-a-s</x:v>
      </x:c>
      <x:c r="E18" s="8" t="str">
        <x:v>Üçevler Mah. Beşevler Küçük Sanayi Sitesi Ertuğrul Cad. No: 23/4A</x:v>
      </x:c>
      <x:c r="F18" s="3" t="str">
        <x:v>11</x:v>
      </x:c>
      <x:c r="G18" s="3" t="str">
        <x:v>1158</x:v>
      </x:c>
      <x:c r="H18" s="8" t="str">
        <x:v>AKERMAK; DAITECH MOLD; HUTTOOLS</x:v>
      </x:c>
      <x:c r="I18" s="8" t="str">
        <x:v>QUIRI HYDROMECANIQUE; LUBO; FRATELLİ VERGNANO S.R.L.; WIDIA; SILMAX; KTA SPINDLE TOOLING; SWISS TOOL SYSTEMS AG; GEBRÜDER EBERHARD GMBH &amp; CO.KG; PUNCH INDUSTRY</x:v>
      </x:c>
      <x:c r="J18" s="8" t="str">
        <x:v>AKERMAK 1990 yıllarda teknik hırdavat sektöründe Bursa’da faaliyet göstermeye başlamış olup, zaman içinde ürün çeşitliliğini arttırarak kalıp sarf malzemeleri, makine ve otomotiv yan sanayi malzeme tedariği ve satışında faaliyet göstermektedir.‘Başarınız, başarımızdır.’ ilkesini benimseyerek 2005 yılında Bursa’da teknik hırdavat sektöründe ilk ISO 9001:2008 kalite sistem belgesini almış ve tüm Delici-kesici-yontucu ve aşındırıcı endüstriyel sarf malzemeleri, standart kalıp elemanları temel ürün portföyümüzdür.Alanında lider markaların temsilciliği ile sektörde her zaman bir adım önde olmayı kendine ilke edinmiştir.</x:v>
      </x:c>
    </x:row>
    <x:row r="19">
      <x:c r="A19" s="3" t="str">
        <x:v>AKKO MAKINA SAN. VE TIC. A.Ş.</x:v>
      </x:c>
      <x:c r="B19" s="3" t="str">
        <x:v>https://www.akko.com.tr/tr</x:v>
      </x:c>
      <x:c r="C19" s="3" t="str">
        <x:v>‎+90 546 547 25 56</x:v>
      </x:c>
      <x:c r="D19" s="3" t="str">
        <x:v>https://www.maktekfuari.com/brand/akko-makina-san-ve-tic-as</x:v>
      </x:c>
      <x:c r="E19" s="8" t="str">
        <x:v>KONYA 5. ORGANİZE SANAYİ BÖLGESİ AŞAĞIPINARBAŞI MAH. 526 NOLU SOKAK NO: 1</x:v>
      </x:c>
      <x:c r="F19" s="3" t="str">
        <x:v>11</x:v>
      </x:c>
      <x:c r="G19" s="3" t="str">
        <x:v>1145</x:v>
      </x:c>
      <x:c r="H19" s="8"/>
      <x:c r="I19" s="8"/>
      <x:c r="J19" s="8" t="str">
        <x:v>1986 yılında Abdullah KARAKUŞ tarafından kurulan AKKO Oto. Mak. Hırd. San. Tic. Ltd. Şti. Tornalama Takımları, Diş ve Kanal Açma Takımları, Delik Delme Takımları, Frezeleme Takımları ve Özel Takımları üretmektedir. Şu an 40.000 m²’ ye yakın bir alanda Türkiye, Japonya, Almanya, İsviçre gibi ülkelerin ürettikleri son teknoloji tezgah ve ekipmanlarıyla yıllık 400.000 adet üretim kapasitesiyle, standart 10.000 çeşit takım üretimi yapmaktadır. Avrupa, Asya, Afrika, Güney Amerika, Kuzey Amerika ve Orta Doğu’da şimdilik 90 ülkeye ürün sevkiyatına devam etmekte olup 400.000 adet civarında üretilmiş ürün stoklarında mevcuttur. Firmaya, özel üretilen çelik hammadde işleme girer ve bütün üretim süreci bünyesinde gerçekleşir. Çeliğin işlenmesi, ısıl işlemi, üzerindeki kaplama ve her türlü üretim süreci bir entegre tesis olan AKKO’da gerçekleşir.</x:v>
      </x:c>
    </x:row>
    <x:row r="20">
      <x:c r="A20" s="3" t="str">
        <x:v>AKSÜT MAKİNA METAL İNŞ. TEKS. OTO. PET. ÜRÜN. TİC. VE SAN. LTD. ŞTİ.</x:v>
      </x:c>
      <x:c r="B20" s="3"/>
      <x:c r="C20" s="3"/>
      <x:c r="D20" s="3" t="str">
        <x:v>https://www.maktekfuari.com/brand/aksut-makina-metal-ins-teks-oto-pet-urun-tic-ve-san-ltd-sti</x:v>
      </x:c>
      <x:c r="E20" s="8"/>
      <x:c r="F20" s="3" t="str">
        <x:v>11A</x:v>
      </x:c>
      <x:c r="G20" s="3" t="str">
        <x:v>21</x:v>
      </x:c>
      <x:c r="H20" s="8"/>
      <x:c r="I20" s="8"/>
      <x:c r="J20" s="8"/>
    </x:row>
    <x:row r="21">
      <x:c r="A21" s="3" t="str">
        <x:v>AKTİF KESİCİ TAKIM HIRDAVAT MAK. SAN. TİC. LTD. ŞTİ.</x:v>
      </x:c>
      <x:c r="B21" s="3" t="str">
        <x:v>https://www.aktifkesicitakim.com.tr</x:v>
      </x:c>
      <x:c r="C21" s="3" t="str">
        <x:v>‎+90 312 395 05 16</x:v>
      </x:c>
      <x:c r="D21" s="3" t="str">
        <x:v>https://www.maktekfuari.com/brand/aktif-kesici-takim-hirdavat-mak-san-tic-ltd-sti</x:v>
      </x:c>
      <x:c r="E21" s="8" t="str">
        <x:v>İVEDİK OSB MAH.MELİH GÖKÇEK BULV. MAXİVEDİK İŞ MERKEZİ NO:10/C OSTİM - YENİMAHALLE / ANKARA</x:v>
      </x:c>
      <x:c r="F21" s="3" t="str">
        <x:v>11</x:v>
      </x:c>
      <x:c r="G21" s="3" t="str">
        <x:v>1152</x:v>
      </x:c>
      <x:c r="H21" s="8"/>
      <x:c r="I21" s="8"/>
      <x:c r="J21" s="8" t="str">
        <x:v>2004 yılında kurulan firmamız, endüstriyel alanda kesici takımlar, tutucu takımlar ve çeşitli mühendislik çözümleri sunarak sektördeki en kaliteli ürünleri müşterilerine ulaştırmayı hedeflemektedir. Ankara’da merkezi bulunan firmamız, sektördeki deneyimi, güçlü teknik altyapısı ve uzman kadrosu ile her geçen yıl büyüyerek, sektördeki liderliğini pekiştirmektedir</x:v>
      </x:c>
    </x:row>
    <x:row r="22">
      <x:c r="A22" s="3" t="str">
        <x:v>AKYAPAK MAKİNA SANAYİ TİCARET A. Ş.</x:v>
      </x:c>
      <x:c r="B22" s="3" t="str">
        <x:v>https://akyapak.com/en</x:v>
      </x:c>
      <x:c r="C22" s="3" t="str">
        <x:v>‎+90 224 280 75 00</x:v>
      </x:c>
      <x:c r="D22" s="3" t="str">
        <x:v>https://www.maktekfuari.com/brand/akyapak-makina-sanayi-ticaret-a-s</x:v>
      </x:c>
      <x:c r="E22" s="8" t="str">
        <x:v>Hasanağa OSB Mah. HOSAB Sanayi Cad. No: 62 Nilüfer</x:v>
      </x:c>
      <x:c r="F22" s="3" t="str">
        <x:v>3</x:v>
      </x:c>
      <x:c r="G22" s="3" t="str">
        <x:v>316</x:v>
      </x:c>
      <x:c r="H22" s="8"/>
      <x:c r="I22" s="8"/>
      <x:c r="J22" s="8" t="str">
        <x:v>Daha iyi ve sürdürülebilir bir geleceğe katkıda bulunmak için endüstrileri güçlendiriyoruz. Metal işleme ve şekillendirmeye yönelik kapsamlı makine ve yazılım çözümleri aracılığıyla teknoloji ve mühendisliği birleştiren bir makine şirketiyiz. Küresel bayi ağımızla desteklenen yenilikçi ürün ve hizmetlerimiz, müşterilerimizin başarılı olmasına yardımcı olan ve endüstrileri daha iyi ve sürdürülebilir bir geleceğe katkıda bulunmaları için güçlendiren olağanüstü bir değer sağlıyor. Kuzey Amerika\’dan Asya\’ya, Avrupa\’dan Avustralya\’ya ve bu geniş coğrafyadaki her bir köşede, makine çözümlerimiz dünya çapında 120\’den fazla ülkede endüstrilere güç veriyor. Küresel erişimimiz, Metal Şekillendirme, Yapısal Çelik ve Plaka İşleme, Takım Tezgahları ve Kaynak Otomasyon Çözümlerini içeren geniş ürün portföyüyle her kıtaya yayılmaktadır.</x:v>
      </x:c>
    </x:row>
    <x:row r="23">
      <x:c r="A23" s="3" t="str">
        <x:v>ALFAMAK KALIP ELEMANLARI MAKİNA SAN. TİC. LTD. ŞTİ.</x:v>
      </x:c>
      <x:c r="B23" s="3" t="str">
        <x:v>https://alfamak.com/en</x:v>
      </x:c>
      <x:c r="C23" s="3" t="str">
        <x:v>‎+90 224 443 06 12</x:v>
      </x:c>
      <x:c r="D23" s="3" t="str">
        <x:v>https://www.maktekfuari.com/brand/alfamak-kalip-elemanlari-makina-san-tic-ltd-sti</x:v>
      </x:c>
      <x:c r="E23" s="8" t="str">
        <x:v>Üçevler Mah. Nilüfer Ticaret Merkezi 68. Sok. No: 17</x:v>
      </x:c>
      <x:c r="F23" s="3" t="str">
        <x:v>11</x:v>
      </x:c>
      <x:c r="G23" s="3" t="str">
        <x:v>1130A</x:v>
      </x:c>
      <x:c r="H23" s="8" t="str">
        <x:v>ALFAMAK</x:v>
      </x:c>
      <x:c r="I23" s="8"/>
      <x:c r="J23" s="8"/>
    </x:row>
    <x:row r="24">
      <x:c r="A24" s="3" t="str">
        <x:v>ALKA MAKİNA OTO İNŞ. ELK. İTH. İHR. SAN. VE DIŞ TİC. LTD. ŞTİ.</x:v>
      </x:c>
      <x:c r="B24" s="3" t="str">
        <x:v>https://www.alkamakina.com</x:v>
      </x:c>
      <x:c r="C24" s="3" t="str">
        <x:v>‎+90 532 661 53 45</x:v>
      </x:c>
      <x:c r="D24" s="3" t="str">
        <x:v>https://www.maktekfuari.com/brand/alka-makina-oto-ins-elk-ith-ihr-san-ve-dis-tic-ltd-sti</x:v>
      </x:c>
      <x:c r="E24" s="8" t="str">
        <x:v>ÜNİVERSİTE MAH.KOMİSER SOK.NO:19/C</x:v>
      </x:c>
      <x:c r="F24" s="3" t="str">
        <x:v>11</x:v>
      </x:c>
      <x:c r="G24" s="3" t="str">
        <x:v>1177</x:v>
      </x:c>
      <x:c r="H24" s="8" t="str">
        <x:v>BİAX PROFESSİONAL POWER</x:v>
      </x:c>
      <x:c r="I24" s="8"/>
      <x:c r="J24" s="8"/>
    </x:row>
    <x:row r="25">
      <x:c r="A25" s="3" t="str">
        <x:v>ALTAN MAKİNA HIR. SAN TİC A.Ş.</x:v>
      </x:c>
      <x:c r="B25" s="3"/>
      <x:c r="C25" s="3"/>
      <x:c r="D25" s="3" t="str">
        <x:v>https://www.maktekfuari.com/brand/altan-makina-hir-san-tic-as</x:v>
      </x:c>
      <x:c r="E25" s="8"/>
      <x:c r="F25" s="3" t="str">
        <x:v>11</x:v>
      </x:c>
      <x:c r="G25" s="3" t="str">
        <x:v>1141</x:v>
      </x:c>
      <x:c r="H25" s="8"/>
      <x:c r="I25" s="8"/>
      <x:c r="J25" s="8"/>
    </x:row>
    <x:row r="26">
      <x:c r="A26" s="3" t="str">
        <x:v>ALTERNATİF RULMAN A.Ş.</x:v>
      </x:c>
      <x:c r="B26" s="3"/>
      <x:c r="C26" s="3"/>
      <x:c r="D26" s="3" t="str">
        <x:v>https://www.maktekfuari.com/brand/alternatif-rulman-as</x:v>
      </x:c>
      <x:c r="E26" s="8"/>
      <x:c r="F26" s="3" t="str">
        <x:v>6</x:v>
      </x:c>
      <x:c r="G26" s="3" t="str">
        <x:v>622</x:v>
      </x:c>
      <x:c r="H26" s="8"/>
      <x:c r="I26" s="8"/>
      <x:c r="J26" s="8"/>
    </x:row>
    <x:row r="27">
      <x:c r="A27" s="3" t="str">
        <x:v>ANCA TURKEY CNC MAKİNE LTD.ŞTİ.</x:v>
      </x:c>
      <x:c r="B27" s="3" t="str">
        <x:v>https://anca.com</x:v>
      </x:c>
      <x:c r="C27" s="3" t="str">
        <x:v>‎+90 212 970 13 10</x:v>
      </x:c>
      <x:c r="D27" s="3" t="str">
        <x:v>https://www.maktekfuari.com/brand/anca-turkey-cnc-makine-ltdsti</x:v>
      </x:c>
      <x:c r="E27" s="8" t="str">
        <x:v>Çobançeşme Mah. Sanayi Cad. Nish İstanbul D Blok No: 44 D: 155 34196</x:v>
      </x:c>
      <x:c r="F27" s="3" t="str">
        <x:v>11</x:v>
      </x:c>
      <x:c r="G27" s="3" t="str">
        <x:v>1115</x:v>
      </x:c>
      <x:c r="H27" s="8"/>
      <x:c r="I27" s="8" t="str">
        <x:v>CemeCon AG</x:v>
      </x:c>
      <x:c r="J27" s="8" t="str">
        <x:v>ANCA, 1974 yılında Avustralya’nın Melbourne kentinde kurulmuş, CNC taşlama makineleri alanında lider bir üreticidir ve küresel merkezi hâlen Melbourne’dedir. Dünya genelinde 1.200’den fazla çalışanı bulunan şirket; CNC makineleri, sürücüler ve kontrol sistemleri ile üretim çözümleri alanlarında faaliyet göstermekte, kendi yazılım ve otomasyon sistemleriyle entegre çözümler sunmaktadır. ANCA makineleri; makine mühendisliği, otomotiv, havacılık, medikal teknoloji, elektronik, ahşap işleme ve enerji üretimi gibi sektörlerde hassas takımlar ve bileşenler üretiminde kullanılmaktadır. İnovasyon odağı ve yüksek dikey entegrasyon seviyesi sayesinde verimlilik ve kalite avantajı sağlar. ANCA Integrated Manufacturing System (AIMS), bağlantılılık ve dijitalleşme alanındaki lider konumunu göstermektedir. Almanya Weinheim merkezli ANCA Avrupa ise yaklaşık 100 çalışanıyla satış, servis, mühendislik ve eğitim alanlarında Avrupa ve Türkiye’de müşterilerine destek sunmaktadır.</x:v>
      </x:c>
    </x:row>
    <x:row r="28">
      <x:c r="A28" s="3" t="str">
        <x:v>ARAN MAKİNA SAN.VE TİC. AHMET ARMUTÇUOĞLU</x:v>
      </x:c>
      <x:c r="B28" s="3"/>
      <x:c r="C28" s="3"/>
      <x:c r="D28" s="3" t="str">
        <x:v>https://www.maktekfuari.com/brand/aran-makina-sanve-tic-ahmet-armutcuoglu</x:v>
      </x:c>
      <x:c r="E28" s="8"/>
      <x:c r="F28" s="3" t="str">
        <x:v>4</x:v>
      </x:c>
      <x:c r="G28" s="3" t="str">
        <x:v>406</x:v>
      </x:c>
      <x:c r="H28" s="8"/>
      <x:c r="I28" s="8"/>
      <x:c r="J28" s="8"/>
    </x:row>
    <x:row r="29">
      <x:c r="A29" s="3" t="str">
        <x:v>ARI MAKİNA TAKIM TEZGAHLARI SAN.VE TİC.LTD.ŞTİ.</x:v>
      </x:c>
      <x:c r="B29" s="3" t="str">
        <x:v>https://Arı Makina</x:v>
      </x:c>
      <x:c r="C29" s="3" t="str">
        <x:v>‎+90 532 315 13 80</x:v>
      </x:c>
      <x:c r="D29" s="3" t="str">
        <x:v>https://www.maktekfuari.com/brand/ari-makina-takim-tezgahlari-sanve-ticltdsti</x:v>
      </x:c>
      <x:c r="E29" s="8" t="str">
        <x:v>Yenidoğan Mah. Abdi İpekçi Cad. 1. Emintaş Sanayi Sitesi No:74/133 34040</x:v>
      </x:c>
      <x:c r="F29" s="3" t="str">
        <x:v>7</x:v>
      </x:c>
      <x:c r="G29" s="3" t="str">
        <x:v>711</x:v>
      </x:c>
      <x:c r="H29" s="8"/>
      <x:c r="I29" s="8"/>
      <x:c r="J29" s="8" t="str">
        <x:v>36 yıldır üretime destek veriyoruz ...</x:v>
      </x:c>
    </x:row>
    <x:row r="30">
      <x:c r="A30" s="3" t="str">
        <x:v>ARİF ALAÇAM RULMAN TİC. VE SAN. LTD. ŞTİ.</x:v>
      </x:c>
      <x:c r="B30" s="3"/>
      <x:c r="C30" s="3"/>
      <x:c r="D30" s="3" t="str">
        <x:v>https://www.maktekfuari.com/brand/arif-alacam-rulman-tic-ve-san-ltd-sti</x:v>
      </x:c>
      <x:c r="E30" s="8"/>
      <x:c r="F30" s="3" t="str">
        <x:v>9</x:v>
      </x:c>
      <x:c r="G30" s="3" t="str">
        <x:v>908</x:v>
      </x:c>
      <x:c r="H30" s="8"/>
      <x:c r="I30" s="8"/>
      <x:c r="J30" s="8"/>
    </x:row>
    <x:row r="31">
      <x:c r="A31" s="3" t="str">
        <x:v>ARMADA YAZILIM A.Ş.</x:v>
      </x:c>
      <x:c r="B31" s="3" t="str">
        <x:v>https://www.armadayazilim.com</x:v>
      </x:c>
      <x:c r="C31" s="3" t="str">
        <x:v>‎+90 216 379 83 79</x:v>
      </x:c>
      <x:c r="D31" s="3" t="str">
        <x:v>https://www.maktekfuari.com/brand/armada-yazilim-as</x:v>
      </x:c>
      <x:c r="E31" s="8" t="str">
        <x:v>Esentepe Mah.Cevizli D100 Güney Yanyol Lapishan No:25-6156 Kartal / İstanbul</x:v>
      </x:c>
      <x:c r="F31" s="3" t="str">
        <x:v>12</x:v>
      </x:c>
      <x:c r="G31" s="3" t="str">
        <x:v>1205</x:v>
      </x:c>
      <x:c r="H31" s="8"/>
      <x:c r="I31" s="8"/>
      <x:c r="J31" s="8" t="str">
        <x:v>2008 yılında kurulan Armada Yazılım, 15 yılı aşkın tecrübesiyle Türk imalat sanayine dijital dönüşüm yolculuğunda liderlik etmektedir. SOLIDWORKS, 3DEXPERIENCE, DraftSight, hyperMILL, DriveWorks, SolidSteel Parametric, WoodExpert ve Elysium gibi yazılım çözümlerinin Türkiye distribütörü olarak; CAD/CAM/CAE alanlarında tasarımdan üretime, satış sonrası destekten eğitime kadar uçtan uca hizmet sunmaktadır. Türkiye genelinde binlerce müşteriye ulaşan Armada Yazılım, farklı sektörlerden edindiği deneyimle stratejik ve sürdürülebilir çözümler geliştirir. Gelişen ihtiyaçlara hızlı ve yenilikçi yaklaşımlar sunarak her adımda müşteri memnuniyetini önceliklendirir. Son beş yılda aldığı 35’in üzerinde ödülle Türkiye’nin en başarılı SOLIDWORKS® distribütörü olan Armada Yazılım, iş ortaklarıyla birlikte büyümeye ve global ölçekte değer üretmeye devam etmektedir.</x:v>
      </x:c>
    </x:row>
    <x:row r="32">
      <x:c r="A32" s="3" t="str">
        <x:v>ARP TEKNİK MAKİNA SAN. VE TİC. LTD.ŞTİ</x:v>
      </x:c>
      <x:c r="B32" s="3" t="str">
        <x:v>https://www.arpteknik.com</x:v>
      </x:c>
      <x:c r="C32" s="3" t="str">
        <x:v>‎+90 532 445 76 76</x:v>
      </x:c>
      <x:c r="D32" s="3" t="str">
        <x:v>https://www.maktekfuari.com/brand/arp-teknik-makina-san-ve-tic-ltdsti</x:v>
      </x:c>
      <x:c r="E32" s="8" t="str">
        <x:v>Sahrayıcedit Mah. Cebesoy Sok. No: 51/B Kadiköy, İSTANBUL – Tu¨rkiye</x:v>
      </x:c>
      <x:c r="F32" s="3" t="str">
        <x:v>11</x:v>
      </x:c>
      <x:c r="G32" s="3" t="str">
        <x:v>1174B</x:v>
      </x:c>
      <x:c r="H32" s="8"/>
      <x:c r="I32" s="8" t="str">
        <x:v>TBT Tiefbohrtechnik GmbH + Co; BTA-Tiefbohrsysteme</x:v>
      </x:c>
      <x:c r="J32" s="8" t="str">
        <x:v>ARP Teknik Makina Sanayi ve Ticaret Ltd. Şti., derin delik delme teknolojileri alanında faaliyet gösteren ve Türkiye sanayisine yüksek hassasiyetli üretim çözümleri sunan uzman bir firmadır. Firmamız, Almanya merkezli sektörün öncü üreticileri TBT Tiefbohrtechnik ve BTA Tiefbohrsysteme GmbH markalarının Türkiye resmi distribütörüdür. Ürün portföyümüz; • Derin delik delme makineleri • BTA ve gundrill sistemleri • Trepanning ve genişletme çözümleri • Takım sistemleri ve sarf malzemeleri • Soğutma-yağlama ekipmanları ve aksesuarlar Savunma sanayi, otomotiv, hidrolik sistemler ve makine imalatı başta olmak üzere birçok sektöre ürün tedariğinin yanı sıra teknik danışmanlık ve satış sonrası destek hizmetleri sunmaktayız. ARP Teknik, kalite, güven ve sürdürülebilir iş ortaklığı anlayışıyla faaliyet göstermektedir.</x:v>
      </x:c>
    </x:row>
    <x:row r="33">
      <x:c r="A33" s="3" t="str">
        <x:v>ASTOR KONVEYÖR SİSTEMLERİ METAL MAKİNA ELEKTRİK OTOMASYON SAN. VE TİC. LTD. ŞTİ.</x:v>
      </x:c>
      <x:c r="B33" s="3" t="str">
        <x:v>https://astorkonveyor.com/</x:v>
      </x:c>
      <x:c r="C33" s="3" t="str">
        <x:v>‎+90 332 342 27 90</x:v>
      </x:c>
      <x:c r="D33" s="3" t="str">
        <x:v>https://www.maktekfuari.com/brand/astor-konveyor-sistemleri-metal-makina-elektrik-otomasyon-san-ve-tic-ltd-sti</x:v>
      </x:c>
      <x:c r="E33" s="8" t="str">
        <x:v>Fevzi Çakmak Mh. Kobisan 2.Sanayi Sitesi C Blok, 10762. Sk. No: 7 G-H Karatay Konya TURKEY</x:v>
      </x:c>
      <x:c r="F33" s="3" t="str">
        <x:v>9</x:v>
      </x:c>
      <x:c r="G33" s="3" t="str">
        <x:v>915</x:v>
      </x:c>
      <x:c r="H33" s="8" t="str">
        <x:v>Mist ZERO; Sludge ZERO; Cooling ZERO; Chip ZERO</x:v>
      </x:c>
      <x:c r="I33" s="8" t="str">
        <x:v>FILTERMIST</x:v>
      </x:c>
      <x:c r="J33" s="8" t="str">
        <x:v>Farklı kültür ve bilgiye sahip ortak fikirler tarafından 2011 yılında kurulan Astor, geleceğin yönetim anlayışını benimseyerek ’Ortak Akıl’ iradesi ile faaliyetlerine ara vermeden devam etmektedir. Talaşlı imalat sektörünün ihtiyaçları doğrultusunda ürünlerini şekillendiren firmamız zaman içerisinde yeni taleplere yanıt verebilmek adına ürün gamını arttırarak sektörel bir marka haline gelmeyi başarmıştır. Sürekliliğin ve kalitenin daimî olması amacıyla çalışmalarını bu doğrultuda ilerleten firmamız kurulduğu günden beri yanlarında olan birçok personeli ile yola devam etmektedir. Uzman kadrosunu genç nesille harmanlayarak ar-ge çalışmalarına yaptığı yatırımlarla sektörel özgünlüğü yakalayan Astor, müşteri taleplerine hızlı bir şekilde yanıt vererek yeni nesil projelerin geliştiricisi ve üreticisi haline gelmiştir.</x:v>
      </x:c>
    </x:row>
    <x:row r="34">
      <x:c r="A34" s="3" t="str">
        <x:v>ATİK ENDÜSTRİYEL KAY. TEKN. SAN. VE TİC. A. Ş.</x:v>
      </x:c>
      <x:c r="B34" s="3"/>
      <x:c r="C34" s="3"/>
      <x:c r="D34" s="3" t="str">
        <x:v>https://www.maktekfuari.com/brand/atik-endustriyel-kay-tekn-san-ve-tic-a-s</x:v>
      </x:c>
      <x:c r="E34" s="8"/>
      <x:c r="F34" s="3" t="str">
        <x:v>2</x:v>
      </x:c>
      <x:c r="G34" s="3" t="str">
        <x:v>200B</x:v>
      </x:c>
      <x:c r="H34" s="8"/>
      <x:c r="I34" s="8"/>
      <x:c r="J34" s="8"/>
    </x:row>
    <x:row r="35">
      <x:c r="A35" s="3" t="str">
        <x:v>ATLAS CNC MAKİNA TİCARET AŞ</x:v>
      </x:c>
      <x:c r="B35" s="3" t="str">
        <x:v>https://www.atlascnc.com</x:v>
      </x:c>
      <x:c r="C35" s="3" t="str">
        <x:v>‎+90 212 671 71 01</x:v>
      </x:c>
      <x:c r="D35" s="3" t="str">
        <x:v>https://www.maktekfuari.com/brand/atlas-cnc-makina-ticaret-as</x:v>
      </x:c>
      <x:c r="E35" s="8" t="str">
        <x:v>İKİTELLİ OSB ATATÜRK BULVARI BOTAŞ İŞ MERKEZİ NO 102 KAT 3 DAİE 17 BAŞAKŞEHİR İSTANBUL</x:v>
      </x:c>
      <x:c r="F35" s="3" t="str">
        <x:v>3</x:v>
      </x:c>
      <x:c r="G35" s="3" t="str">
        <x:v>310</x:v>
      </x:c>
      <x:c r="H35" s="8" t="str">
        <x:v>ALPHA LASER GMBH; RAS Reinhardt Maschinenbau GmbH; SAFAN DARLEY B.V.; TIMESAVERS B.V.; MITSUBISHI ASTES 4; LANHAO INTELLIGENT TECHNOLOGY; HBS; PIVATIC OY; RESATO INTENATIONAL B.V; HGIT; GSC; SONGU LASER; WILA BV; UKB; KETEC; REEGAO INTELLIGENT EQUIPMANTS</x:v>
      </x:c>
      <x:c r="I35" s="8" t="str">
        <x:v>RAS REINHARDT MASCHINEBAU GMBH; LANHAO TECH- Nanjing Lanhao Intelligent Technology Co.,Ltd.; TIMESAVERS INTERNATIONAL BV; MURATEC; MITSUBISHI ELECTRIC EUROPE B.V; ASTES4 SA; RESATO HPT; ALPHA LASER GMBH; Suzhou Han\\\\ s Songu Intelligent Equipment Co.,Ltd; GSC; KASTO MASCHINEBAU GMBH; SUNMASTER; NS MAQUINAS Industriais, Lda.; MARKSMAN JEIL MTECH CO.,LTD.; HGIT; HBS TECH.,CO.; PIVATIC OY; SAFANDARLEY B.V; REEGAO Intelligent Equipment CO.,LTD</x:v>
      </x:c>
      <x:c r="J35" s="8" t="str">
        <x:v>Atlas CNC Makina Ticaret A.Ş.2004 yılından beri metal işleme teknolojileri alanında, müşterilerine profesyonel olarak çözüm ortaklığı sunmakta. 30 yılı aşkın tecrübesi, kendi alanında dünyaca ünlü ve rakipsiz olan tedarikçi firmaları ve yüksek teknoloji metal işleme makinaları ile hassas ve seri üretime yönelik bir çok avantajı bünyesinde barındırmaktadır. Profesyonel satış kadrosu ve geniş teknik servis departmanı ile ihtiyaçlarınız doğrultusunda sizlere hizmet vermektedir. Temsil ettiğimiz başlıca üreticiler; Lazer kesim makinaları: Mitsubishi Electric Europe B.V. Servo punch press ve torna tezgahları: Murata Machinery LTD. Servo elektronik abkant ve giyotin tezgahaları : SafanDarley B.V. Servo caka ve bükme merkezleri: RAS Reinhardt Maschinenbau GmbH Lazer kaynak makinaları: Alpha Laser GmbH ve daha fazlası...</x:v>
      </x:c>
    </x:row>
    <x:row r="36">
      <x:c r="A36" s="3" t="str">
        <x:v>ATLIER RULMANCILIK ENDÜSTRİYEL EKİPMAN TİCARET VE SANAYİ LİMİTED ŞİRKETİ</x:v>
      </x:c>
      <x:c r="B36" s="3"/>
      <x:c r="C36" s="3"/>
      <x:c r="D36" s="3" t="str">
        <x:v>https://www.maktekfuari.com/brand/atlier-rulmancilik-endustriyel-ekipman-ticaret-ve-sanayi-limited-sirketi</x:v>
      </x:c>
      <x:c r="E36" s="8"/>
      <x:c r="F36" s="3" t="str">
        <x:v>6</x:v>
      </x:c>
      <x:c r="G36" s="3" t="str">
        <x:v>618</x:v>
      </x:c>
      <x:c r="H36" s="8"/>
      <x:c r="I36" s="8"/>
      <x:c r="J36" s="8"/>
    </x:row>
    <x:row r="37">
      <x:c r="A37" s="3" t="str">
        <x:v>AYD KURUMSAL TEKNİK VE NÜKLEER HİZMETLER DANIŞMANLIK TİC. LTD. ŞTİ.</x:v>
      </x:c>
      <x:c r="B37" s="3" t="str">
        <x:v>https://ayddanismanlik.com/</x:v>
      </x:c>
      <x:c r="C37" s="3" t="str">
        <x:v>‎+90 530 110 72 95</x:v>
      </x:c>
      <x:c r="D37" s="3" t="str">
        <x:v>https://www.maktekfuari.com/brand/ayd-kurumsal-teknik-ve-nukleer-hizmetler-danismanlik-tic-ltd-sti</x:v>
      </x:c>
      <x:c r="E37" s="8" t="str">
        <x:v>Küçükbakkalköy Mah. Dudullu Cd. Brandium R1/14 No: 23-25 34750 Ataşehir/İstanbul</x:v>
      </x:c>
      <x:c r="F37" s="3" t="str">
        <x:v>6</x:v>
      </x:c>
      <x:c r="G37" s="3" t="str">
        <x:v>617</x:v>
      </x:c>
      <x:c r="H37" s="8"/>
      <x:c r="I37" s="8" t="str">
        <x:v>SGM srl New TEM; HÖCKH Metall-Reinigungsanlagen GmbH</x:v>
      </x:c>
      <x:c r="J37" s="8" t="str">
        <x:v>2007 yılında kurulan AYD Danışmanlık, kurumsal alanda danışmanlık hizmetleri sunmakta ayrıca teknik ve nükleer alanlarda satış ve mümessillik hizmetleri vermektedir.</x:v>
      </x:c>
    </x:row>
    <x:row r="38">
      <x:c r="A38" s="3" t="str">
        <x:v>AZE OTOMASYON EĞİTİM VE DANIŞMANLIK AŞ</x:v>
      </x:c>
      <x:c r="B38" s="3" t="str">
        <x:v>https://www.azeotomasyon.com</x:v>
      </x:c>
      <x:c r="C38" s="3" t="str">
        <x:v>‎+90 216 621 21 12</x:v>
      </x:c>
      <x:c r="D38" s="3" t="str">
        <x:v>https://www.maktekfuari.com/brand/aze-otomasyon-egitim-ve-danismanlik-as</x:v>
      </x:c>
      <x:c r="E38" s="8" t="str">
        <x:v>Aydınlı Birlik OSB 1 Nolu Cd. No:7/2 Tuzla İstanbul</x:v>
      </x:c>
      <x:c r="F38" s="3" t="str">
        <x:v>6</x:v>
      </x:c>
      <x:c r="G38" s="3" t="str">
        <x:v>601</x:v>
      </x:c>
      <x:c r="H38" s="8" t="str">
        <x:v>AZEPAS</x:v>
      </x:c>
      <x:c r="I38" s="8" t="str">
        <x:v>METROLOGIC DSC; STEINMEYER Test ve Kalibrasyon Sistemleri</x:v>
      </x:c>
      <x:c r="J38" s="8" t="str">
        <x:v>AZE Otomasyon, endüstriyel otomasyon teknolojileri alanında, ölçme ve kontrol sistemleri üzerine faaliyet gösteren bir firma olarak kurulmuştur. Kendi yazılımıyla görüntü işleme konusunda ayıklama ve ölçme kontrol sistemleri üzerine çözüm üretmektedir. Tasarımdan teslime tüm faaliyetleri üstlenerek proje bazlı çalışma sağlamaktadır.</x:v>
      </x:c>
    </x:row>
    <x:row r="39">
      <x:c r="A39" s="3" t="str">
        <x:v>BACA MÜHENDİSLİK AŞ</x:v>
      </x:c>
      <x:c r="B39" s="3"/>
      <x:c r="C39" s="3"/>
      <x:c r="D39" s="3" t="str">
        <x:v>https://www.maktekfuari.com/brand/baca-muhendislik-as</x:v>
      </x:c>
      <x:c r="E39" s="8"/>
      <x:c r="F39" s="3" t="str">
        <x:v>12A</x:v>
      </x:c>
      <x:c r="G39" s="3" t="str">
        <x:v>58B</x:v>
      </x:c>
      <x:c r="H39" s="8"/>
      <x:c r="I39" s="8"/>
      <x:c r="J39" s="8"/>
    </x:row>
    <x:row r="40">
      <x:c r="A40" s="3" t="str">
        <x:v>BARIŞ POLİMER SAN. İTH. İHR. END. VE TİC. LTD. ŞTİ.</x:v>
      </x:c>
      <x:c r="B40" s="3" t="str">
        <x:v>http://www.barisithalat.com/</x:v>
      </x:c>
      <x:c r="C40" s="3" t="str">
        <x:v>‎+90 216 463 16 65</x:v>
      </x:c>
      <x:c r="D40" s="3" t="str">
        <x:v>https://www.maktekfuari.com/brand/baris-polimer-san-ith-ihr-end-ve-tic-ltd-sti</x:v>
      </x:c>
      <x:c r="E40" s="8" t="str">
        <x:v>Kozyatağı Mah. Yağız Sok. Onur Apt. No: 1/A</x:v>
      </x:c>
      <x:c r="F40" s="3" t="str">
        <x:v>11</x:v>
      </x:c>
      <x:c r="G40" s="3" t="str">
        <x:v>1181</x:v>
      </x:c>
      <x:c r="H40" s="8" t="str">
        <x:v>STARTOOL</x:v>
      </x:c>
      <x:c r="I40" s="8" t="str">
        <x:v>STARTOOL; SHIN YAIN; HALDER; HAM TOOLS; RINECK</x:v>
      </x:c>
      <x:c r="J40" s="8" t="str">
        <x:v>Barış Polimer , 40 senelik tecrübesiyle kesici takım , takım tutucu ve parça bağlama sistemleri konusunda hizmet vermektedir. Ağırlıklı olarak Otomotiv Sanayi , Beyaz Eşya Üreticileri , Kalıp Üreticileri , Havacılık Sanayi , Savunma Sanayi , Makina , Fikstür ve Aparat Üreticilerine hitap eden bu ürünler , sektörlerinde lider konumda olan üretici firmaların Türkiye Yetkili Mümessili olarak tarafımızdan tedarik edilmektedir.</x:v>
      </x:c>
    </x:row>
    <x:row r="41">
      <x:c r="A41" s="3" t="str">
        <x:v>BARTEKNİK MAKİNA SERVİS &amp; SERVİS ÇUBUK SÜRÜCÜ SİSTEMLERİ SAN. TİC. LTD. ŞTİ.</x:v>
      </x:c>
      <x:c r="B41" s="3" t="str">
        <x:v>https://barteknikmakina.com</x:v>
      </x:c>
      <x:c r="C41" s="3" t="str">
        <x:v>‎+90 506 838 17 14</x:v>
      </x:c>
      <x:c r="D41" s="3" t="str">
        <x:v>https://www.maktekfuari.com/brand/barteknik-makina-servis-servis-cubuk-surucu-sistemleri-san-tic-ltd-sti</x:v>
      </x:c>
      <x:c r="E41" s="8" t="str">
        <x:v>atlantik plus iş merkezi inönü mah.1731.sk.no:4b/16</x:v>
      </x:c>
      <x:c r="F41" s="3" t="str">
        <x:v>9</x:v>
      </x:c>
      <x:c r="G41" s="3" t="str">
        <x:v>916</x:v>
      </x:c>
      <x:c r="H41" s="8" t="str">
        <x:v>BARTEKNİK MAKİNA</x:v>
      </x:c>
      <x:c r="I41" s="8"/>
      <x:c r="J41" s="8"/>
    </x:row>
    <x:row r="42">
      <x:c r="A42" s="3" t="str">
        <x:v>BAŞARANLAR CNC MAKİNA TAKIM SAN. VE TİC. LTD. ŞTİ.</x:v>
      </x:c>
      <x:c r="B42" s="3" t="str">
        <x:v>http://www.hasstak.com/</x:v>
      </x:c>
      <x:c r="C42" s="3" t="str">
        <x:v>‎+90 216 352 08 51</x:v>
      </x:c>
      <x:c r="D42" s="3" t="str">
        <x:v>https://www.maktekfuari.com/brand/basaranlar-cnc-makina-takim-san-ve-tic-ltd-sti</x:v>
      </x:c>
      <x:c r="E42" s="8" t="str">
        <x:v>Yalı Mahallesi Mareşal Fevzi Çakmak Cad. P.K. 34844 No: 64/H</x:v>
      </x:c>
      <x:c r="F42" s="3" t="str">
        <x:v>11</x:v>
      </x:c>
      <x:c r="G42" s="3" t="str">
        <x:v>1169</x:v>
      </x:c>
      <x:c r="H42" s="8" t="str">
        <x:v>Hasstak; Hassbara</x:v>
      </x:c>
      <x:c r="I42" s="8"/>
      <x:c r="J42" s="8" t="str">
        <x:v>Başaranlar CNC Makina, 1997 yılında metal işleme sektörünün ihtiyaçlarına çözüm sunmak amacıyla kurulmuş ve CNC tezgahlarında makine takımı ile seri imalat hizmetleri sunarak güvenilir bir çözüm ortağı haline gelmiştir. 2000’li yılların başında, Türkiye’de yerli hassas takım ihtiyacını görerek HASSTAK markasıyla yeniden yapılanmış ve bu alana odaklanmıştır. Bu kapsamda HASSbara ile Türkiye’nin ilk yerli ayarlanabilir hassas delik büyütme takımı geliştirilmiştir. Ar-Ge çalışmalarıyla ürün gamı; HASSkanal, HASSkaba, HASSkata ve HASSentrik markalarıyla genişletilmiştir. Bugün HASSTAK, yüksek hassasiyetli ürünleriyle kalite ve performansı bir arada sunarak hem yurtiçi hem yurtdışı pazarda faaliyet göstermekte; yerli üretim gücü ve müşteri odaklı yaklaşımıyla küresel ölçekte büyümeyi hedeflemektedir.</x:v>
      </x:c>
    </x:row>
    <x:row r="43">
      <x:c r="A43" s="3" t="str">
        <x:v>BAYKAL MAKİNA SAN. VE TİC. A. Ş.</x:v>
      </x:c>
      <x:c r="B43" s="3" t="str">
        <x:v>https://www.baykal.com.tr</x:v>
      </x:c>
      <x:c r="C43" s="3" t="str">
        <x:v>‎+90 530 178 86 81</x:v>
      </x:c>
      <x:c r="D43" s="3" t="str">
        <x:v>https://www.maktekfuari.com/brand/baykal-makina-san-ve-tic-a-s</x:v>
      </x:c>
      <x:c r="E43" s="8" t="str">
        <x:v>IşıktepeOSB Mah. Turkuaz Cad. No:59 Nilüfer/BURSA TURKEY</x:v>
      </x:c>
      <x:c r="F43" s="3" t="str">
        <x:v>3</x:v>
      </x:c>
      <x:c r="G43" s="3" t="str">
        <x:v>314</x:v>
      </x:c>
      <x:c r="H43" s="8" t="str">
        <x:v>Baykal</x:v>
      </x:c>
      <x:c r="I43" s="8" t="str">
        <x:v>BAYKAL GmbH</x:v>
      </x:c>
      <x:c r="J43" s="8" t="str">
        <x:v>Geçmişten Geleceğe 1950'lerin başlarına uzanan kuruluş tarihiyle Baykal, bugün abkant presler, makaslar, köşe kesme makineleri, delme makineleri, lazer kesim sistemleri, plazma kesme makineleri ve dik işleme merkezleri üretiminde uzmanlaşmış, sac işleme makineleri alanında önde gelen bir üretici ve küresel tedarikçi konumundadır. Baykal, üretim operasyonları için toplam 70.000 metrekarelik üretim alanına sahip üç fabrikayı kullanmakta olup, bu da onu Avrupa'nın en büyük sac işleme ve imalat makineleri tesislerinden biri yapmaktadır. Baykal'ın toplam iş gücü şu anda 650 çalışan olup, bu çalışanlar arasında 80 mühendis tarafından desteklenen, yüksek eğitimli ve nitelikli makine operatörleri ve montaj teknisyenleri bulunmaktadır. Baykal'ın sunduğu tüm makineler, CAD ortamında ve geniş ölçüde CNC işleme ve modern atölye ekipmanlarının kullanıldığı özel yapım tesislerinde tamamen tasarlanmakta, üretilmekte, monte edilmekte ve bitirilmektedir.</x:v>
      </x:c>
    </x:row>
    <x:row r="44">
      <x:c r="A44" s="3" t="str">
        <x:v>BAYSEL MAKİNA SANAYİ VE TİC. LTD. ŞTİ.</x:v>
      </x:c>
      <x:c r="B44" s="3" t="str">
        <x:v>https://baysel.com.tr/</x:v>
      </x:c>
      <x:c r="C44" s="3" t="str">
        <x:v>‎+90 532 774 87 47</x:v>
      </x:c>
      <x:c r="D44" s="3" t="str">
        <x:v>https://www.maktekfuari.com/brand/baysel-makina-sanayi-ve-tic-ltd-sti</x:v>
      </x:c>
      <x:c r="E44" s="8" t="str">
        <x:v>Yeni Doğan Mah. Ensar Sok. No: 3/I</x:v>
      </x:c>
      <x:c r="F44" s="3" t="str">
        <x:v>5</x:v>
      </x:c>
      <x:c r="G44" s="3" t="str">
        <x:v>513</x:v>
      </x:c>
      <x:c r="H44" s="8"/>
      <x:c r="I44" s="8" t="str">
        <x:v>JINN FA MACHINE INDUSTRIAL CO., LTD.; BARLOAD MACHINE CO.,LTD.</x:v>
      </x:c>
      <x:c r="J44" s="8" t="str">
        <x:v>Baysel Makina CNC takım tezgahları sektöründe müşterilerinin çözüm ortağı olmak amacı ile İstanbul Bayrampaşa’da, 2006 yılında kurulmuştur. Kurucu ortaklarının toplam 30 yıldan fazla tecrübesinin verdiği uzmanlık ile Baysel Makina,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row>
    <x:row r="45">
      <x:c r="A45" s="3" t="str">
        <x:v>BBEND MAKİNA İTHALAT İHRACAT SAN. EV TİC. LTD. ŞTİ.</x:v>
      </x:c>
      <x:c r="B45" s="3" t="str">
        <x:v>https://www.bbendmakina.com/</x:v>
      </x:c>
      <x:c r="C45" s="3" t="str">
        <x:v>‎+90 554 494 94 40</x:v>
      </x:c>
      <x:c r="D45" s="3" t="str">
        <x:v>https://www.maktekfuari.com/brand/bbend-makina-ithalat-ihracat-san-ev-tic-ltd-sti</x:v>
      </x:c>
      <x:c r="E45" s="8" t="str">
        <x:v>KAYAPA OSB MAVİ CAD. NO: 5</x:v>
      </x:c>
      <x:c r="F45" s="3" t="str">
        <x:v>1</x:v>
      </x:c>
      <x:c r="G45" s="3" t="str">
        <x:v>106</x:v>
      </x:c>
      <x:c r="H45" s="8" t="str">
        <x:v>BBEND MAKİNA</x:v>
      </x:c>
      <x:c r="I45" s="8"/>
      <x:c r="J45" s="8" t="str">
        <x:v>BBEND Makina olarak üretiminde bulunduğumuz Boru ve Profil Bükme Makinalarımız, Kurtağzı Açma Makinalarımız ve Boru ve Profil Kıvırma Makinalarımız sayesinde zorlu veya kolay, seri veya yavaş,özel veya standart bükümlerinizde her zaman ve her yerde yanınızdayız.14 yıllık boru bükme, boru kıvırma ve kurtağzı açma makinası üretimi tecrübelerimiz ile halihazırdaki müşterilerimize ve potansiyel müşterilerimize güven vermiş ve vermekte olan bir firma olarak, daima müşterilerimizin gerek büküm ihtiyaçlarını gerekse kurtağzı açma ihtiyaçlarını karşılamak üzere hizmetlerimizi sürdürmekteyiz.Tecrübeli ve yetenekli üretim ekibimiz ve mühendislerimiz sayesinde boru ve profil bükme ve kaynak ağzı (kurtağzı) makinaları söz konusu olduğunda adımızdan söz ettirmeye devam etmek için var gücümüz ile çalışmalarımıza devam ediyoruz.</x:v>
      </x:c>
    </x:row>
    <x:row r="46">
      <x:c r="A46" s="3" t="str">
        <x:v>BEKA-MAK MAKİNA SANAYİ VE TİC. A. Ş.</x:v>
      </x:c>
      <x:c r="B46" s="3"/>
      <x:c r="C46" s="3"/>
      <x:c r="D46" s="3" t="str">
        <x:v>https://www.maktekfuari.com/brand/beka-mak-makina-sanayi-ve-tic-a-s</x:v>
      </x:c>
      <x:c r="E46" s="8"/>
      <x:c r="F46" s="3" t="str">
        <x:v>1</x:v>
      </x:c>
      <x:c r="G46" s="3" t="str">
        <x:v>105</x:v>
      </x:c>
      <x:c r="H46" s="8"/>
      <x:c r="I46" s="8"/>
      <x:c r="J46" s="8"/>
    </x:row>
    <x:row r="47">
      <x:c r="A47" s="3" t="str">
        <x:v>BEM MAKİNE MÜHENDİSLİK DIŞ TİCARET PAZARLAMA SANAYİ VE TİCARET LİMİTED ŞİRKETİ</x:v>
      </x:c>
      <x:c r="B47" s="3" t="str">
        <x:v>https://www.bemcnc.com.tr</x:v>
      </x:c>
      <x:c r="C47" s="3" t="str">
        <x:v>‎+90 532 223 86 53</x:v>
      </x:c>
      <x:c r="D47" s="3" t="str">
        <x:v>https://www.maktekfuari.com/brand/bem-makine-muhendislik-dis-ticaret-pazarlama-sanayi-ve-ticaret-limited-sirketi</x:v>
      </x:c>
      <x:c r="E47" s="8" t="str">
        <x:v>İVEDİK OSB MH. KÖŞE İVEDİK İŞ MERKEZİ 1439.CD. NO:27/D (126) YENİMAHALLE / ANKARA</x:v>
      </x:c>
      <x:c r="F47" s="3" t="str">
        <x:v>10</x:v>
      </x:c>
      <x:c r="G47" s="3" t="str">
        <x:v>1008</x:v>
      </x:c>
      <x:c r="H47" s="8" t="str">
        <x:v>KIRA; tokio; SHOWA TOOL; HANSONG; W.T.I. FASTENERS</x:v>
      </x:c>
      <x:c r="I47" s="8" t="str">
        <x:v>SHOWA TOOL; HAN SONG; W.T.I. Fasteners Ltd; tokio; KIRA</x:v>
      </x:c>
      <x:c r="J47" s="8" t="str">
        <x:v>Ağustos 2010 yılından bu yana hizmet vermekte olan firmamızın iştigal konuları aşağıdaki gibidir. - Yeni ve kullanılmış CNC TAKIM TEZGAHLARI satış ve servisi, - Anahtar teslimi projeler (Tezgah seçimi, fikstür tasarım, imalat ve montajı, takımlandırma, kurulum, montaj, ön seri ve seri üretime kadar tüm mühendislik çalışmaları) - JAPON malı hassas takım tutucuların satışı, - G.Kore menşeili Solid Karbür parmak freze satışı, - İngiltere menşeili helicoil satışı - Merkezi sıvı filtrasyon ve talaş toplama/işleme sistemleri</x:v>
      </x:c>
    </x:row>
    <x:row r="48">
      <x:c r="A48" s="3" t="str">
        <x:v>BERİL ENDÜSTRİYEL ÜRÜNLER MÜHENDİSLİK TİC. LTD. ŞTİ.</x:v>
      </x:c>
      <x:c r="B48" s="3" t="str">
        <x:v>https://www.berilmuh.com.tr</x:v>
      </x:c>
      <x:c r="C48" s="3" t="str">
        <x:v>‎+90 222 230 04 03</x:v>
      </x:c>
      <x:c r="D48" s="3" t="str">
        <x:v>https://www.maktekfuari.com/brand/beril-endustriyel-urunler-muhendislik-tic-ltd-sti</x:v>
      </x:c>
      <x:c r="E48" s="8" t="str">
        <x:v>75.Yıl Sultandere Mh. Yunusemre Kobi San. Sit. 11285 Sk. No:8</x:v>
      </x:c>
      <x:c r="F48" s="3" t="str">
        <x:v>11</x:v>
      </x:c>
      <x:c r="G48" s="3" t="str">
        <x:v>1105</x:v>
      </x:c>
      <x:c r="H48" s="8"/>
      <x:c r="I48" s="8" t="str">
        <x:v>GREENLEAF CORPORATION</x:v>
      </x:c>
      <x:c r="J48" s="8" t="str">
        <x:v>1989 yılından bu yana müşteri odaklı bir yaklaşımla sürekli gelişen Beril Endüstriyel Ürünler Mühendislik, çağdaş ve dinamik kadrosuyla sektörün saygın ve güvenilir bir markası haline gelmiştir. Müşterilerine yalnızca yüksek kaliteli ürünler sunmakla kalmayıp, sağladığı güçlü teknik destekle de fark yaratmaktadır. Alanında uzman mühendislik kadrosu, küresel teknolojileri yakından takip ederek işletmelere yenilikçi ve geleceğe dönük çözümler sunmayı ilke edinmiştir.</x:v>
      </x:c>
    </x:row>
    <x:row r="49">
      <x:c r="A49" s="3" t="str">
        <x:v>BERT OKE SERT MADEN SAN. VE TİC. LTD.ŞTİ.</x:v>
      </x:c>
      <x:c r="B49" s="3" t="str">
        <x:v>https://www.oketurkiye.com/</x:v>
      </x:c>
      <x:c r="C49" s="3" t="str">
        <x:v>‎+90 539 440 35 15</x:v>
      </x:c>
      <x:c r="D49" s="3" t="str">
        <x:v>https://www.maktekfuari.com/brand/bert-oke-sert-maden-san-ve-tic-ltdsti</x:v>
      </x:c>
      <x:c r="E49" s="8" t="str">
        <x:v>İkitelli OSB Mah. Süleyman Demirel Bulvarı Heskoop San. Sit. No: 33 İç Kapı No: 4 Başakşehir</x:v>
      </x:c>
      <x:c r="F49" s="3" t="str">
        <x:v>11</x:v>
      </x:c>
      <x:c r="G49" s="3" t="str">
        <x:v>1130</x:v>
      </x:c>
      <x:c r="H49" s="8" t="str">
        <x:v>OKE</x:v>
      </x:c>
      <x:c r="I49" s="8"/>
      <x:c r="J49" s="8"/>
    </x:row>
    <x:row r="50">
      <x:c r="A50" s="3" t="str">
        <x:v>BEST CNC TAKIM TEZGAHLARI SAN.TİC.LTD.ŞTİ.</x:v>
      </x:c>
      <x:c r="B50" s="3" t="str">
        <x:v>https://www.bestcnc.com.tr</x:v>
      </x:c>
      <x:c r="C50" s="3" t="str">
        <x:v>‎+90 531 278 43 83</x:v>
      </x:c>
      <x:c r="D50" s="3" t="str">
        <x:v>https://www.maktekfuari.com/brand/best-cnc-takim-tezgahlari-santicltdsti</x:v>
      </x:c>
      <x:c r="E50" s="8" t="str">
        <x:v>4. Sanayi Sitesi 129/1 Sokak No: 1/A, Doganlar, 35000 Bornova/İzmir</x:v>
      </x:c>
      <x:c r="F50" s="3" t="str">
        <x:v>9</x:v>
      </x:c>
      <x:c r="G50" s="3" t="str">
        <x:v>906</x:v>
      </x:c>
      <x:c r="H50" s="8"/>
      <x:c r="I50" s="8" t="str">
        <x:v>A-RYUNG; YOUNGCHANG; SAMCHULLY; EXACT</x:v>
      </x:c>
      <x:c r="J50" s="8" t="str">
        <x:v>2014 yılında kurulan Best CNC, talaşlı imalat sektöründe yüksek kaliteli CNC makineleri ve ekipmanlarının satışını ve satış sonrası desteğini sunan lider bir firmadır. Müşterilerimize en son teknolojilerle donatılmış ürünler sunarak, üretim süreçlerini daha verimli ve güvenilir hale getiriyoruz. Yurt içi ve yurt dışındaki müşterilerimize, özel çözümler sunarak, onların ihtiyaçlarına hızlı ve etkili yanıt veriyoruz. Kalite, güvenilirlik ve yenilikçilik değerlerimizle, sektördeki en iyi hizmeti sunmayı ve güçlü, uzun vadeli ilişkiler kurmayı hedefliyoruz.</x:v>
      </x:c>
    </x:row>
    <x:row r="51">
      <x:c r="A51" s="3" t="str">
        <x:v>BIEL MAKİNE SANAYİ VE TİCARET A.Ş.</x:v>
      </x:c>
      <x:c r="B51" s="3" t="str">
        <x:v>https://bielmakine.com/</x:v>
      </x:c>
      <x:c r="C51" s="3" t="str">
        <x:v>‎+90 532 449 82 25</x:v>
      </x:c>
      <x:c r="D51" s="3" t="str">
        <x:v>https://www.maktekfuari.com/brand/biel-makine-sanayi-ve-ticaret-as</x:v>
      </x:c>
      <x:c r="E51" s="8" t="str">
        <x:v>EVRENOS MH. EVRANOS KÜME EVLER NO:43</x:v>
      </x:c>
      <x:c r="F51" s="3" t="str">
        <x:v>11A</x:v>
      </x:c>
      <x:c r="G51" s="3" t="str">
        <x:v>35</x:v>
      </x:c>
      <x:c r="H51" s="8" t="str">
        <x:v>BIEL MAKİNE A.Ş</x:v>
      </x:c>
      <x:c r="I51" s="8" t="str">
        <x:v>DNE LASER</x:v>
      </x:c>
      <x:c r="J51" s="8" t="str">
        <x:v>BIEL MAKİNE A.Ş. firması ve kurucuları olarak, sektörde 20 yıllık, fiber lazerde 10 yıllık tecrübemiz ile hizmet vermekteyiz. Sektörde doğacak tüm ihtiyaçlara, doğru ve tam kapsamlı ürünler ile çözüm sunuyoruz.</x:v>
      </x:c>
    </x:row>
    <x:row r="52">
      <x:c r="A52" s="3" t="str">
        <x:v>BİEM LASER MAKİNA VE OTOMASYON SAN. TİC. LTD. ŞTİ.</x:v>
      </x:c>
      <x:c r="B52" s="3"/>
      <x:c r="C52" s="3"/>
      <x:c r="D52" s="3" t="str">
        <x:v>https://www.maktekfuari.com/brand/biem-laser-makina-ve-otomasyon-san-tic-ltd-sti</x:v>
      </x:c>
      <x:c r="E52" s="8"/>
      <x:c r="F52" s="3" t="str">
        <x:v>12A</x:v>
      </x:c>
      <x:c r="G52" s="3" t="str">
        <x:v>17</x:v>
      </x:c>
      <x:c r="H52" s="8"/>
      <x:c r="I52" s="8"/>
      <x:c r="J52" s="8"/>
    </x:row>
    <x:row r="53">
      <x:c r="A53" s="3" t="str">
        <x:v>BİLGİN MEKATRONİK MAK. SAN. TİC. LTD. ŞTİ.</x:v>
      </x:c>
      <x:c r="B53" s="3"/>
      <x:c r="C53" s="3"/>
      <x:c r="D53" s="3" t="str">
        <x:v>https://www.maktekfuari.com/brand/bilgin-mekatronik-mak-san-tic-ltd-sti</x:v>
      </x:c>
      <x:c r="E53" s="8"/>
      <x:c r="F53" s="3" t="str">
        <x:v>9</x:v>
      </x:c>
      <x:c r="G53" s="3" t="str">
        <x:v>917</x:v>
      </x:c>
      <x:c r="H53" s="8"/>
      <x:c r="I53" s="8"/>
      <x:c r="J53" s="8"/>
    </x:row>
    <x:row r="54">
      <x:c r="A54" s="3" t="str">
        <x:v>BİLGİNOĞLU ENDÜSTRİ MALZ. SAN. TİC. A.Ş.</x:v>
      </x:c>
      <x:c r="B54" s="3" t="str">
        <x:v>https://www.bilginoglu-endustri.com.tr/</x:v>
      </x:c>
      <x:c r="C54" s="3" t="str">
        <x:v>‎+90 232 433 72 30</x:v>
      </x:c>
      <x:c r="D54" s="3" t="str">
        <x:v>https://www.maktekfuari.com/brand/bilginoglu-endustri-malz-san-tic-as</x:v>
      </x:c>
      <x:c r="E54" s="8" t="str">
        <x:v>2824 Sk. No:26 1.Sanayi Sitesi 35110 İzmir</x:v>
      </x:c>
      <x:c r="F54" s="3" t="str">
        <x:v>11</x:v>
      </x:c>
      <x:c r="G54" s="3" t="str">
        <x:v>1147 - 1146</x:v>
      </x:c>
      <x:c r="H54" s="8"/>
      <x:c r="I54" s="8" t="str">
        <x:v>MITUTOYO; VICI VISION</x:v>
      </x:c>
      <x:c r="J54" s="8" t="str">
        <x:v>Bilginoğlu Endüstri, 1973 yılında İzmir’de Yüksek Makine Mühendisi Ercan Bilginoğulları tarafından, Türk sanayisini yüksek kaliteli endüstriyel ekipmanlarla buluşturma hedefiyle kuruldu. Kurulduğu günden bu yana üstün hizmet anlayışıyla sektörün güvenilir ve öncü firmalarından biri haline geldi. 1989’da Mitutoyo GmbH, 1995’te Kyocera GmbH ile distribütörlük anlaşmaları imzalayan şirket, 2001 yılında Mitutoyo’nun tüm ürün gruplarında Türkiye Ana Distribütörü oldu. Global markalarla yaptığı iş birlikleri sayesinde ürün ve hizmet ağını sürekli genişleten Bilginoğlu Endüstri; merkezi İzmir’de olmak üzere İstanbul, Bursa ve Ankara’daki ofis ve showroomlarıyla hizmet veriyor. İzmir Ulucak’taki hizmet üssü ise depo, kalibrasyon ve teknik servis faaliyetlerine ev sahipliği yapıyor.</x:v>
      </x:c>
    </x:row>
    <x:row r="55">
      <x:c r="A55" s="3" t="str">
        <x:v>BİLOL METAL İŞLEME MERKEZİ SAN. VE TİC. LTD.ŞTİ.</x:v>
      </x:c>
      <x:c r="B55" s="3"/>
      <x:c r="C55" s="3"/>
      <x:c r="D55" s="3" t="str">
        <x:v>https://www.maktekfuari.com/brand/bilol-metal-isleme-merkezi-san-ve-tic-ltdsti</x:v>
      </x:c>
      <x:c r="E55" s="8"/>
      <x:c r="F55" s="3" t="str">
        <x:v>2</x:v>
      </x:c>
      <x:c r="G55" s="3" t="str">
        <x:v>217</x:v>
      </x:c>
      <x:c r="H55" s="8"/>
      <x:c r="I55" s="8"/>
      <x:c r="J55" s="8"/>
    </x:row>
    <x:row r="56">
      <x:c r="A56" s="3" t="str">
        <x:v>BİMAKSAN CNC TAKIM TEZGAHLARI .SAN VE TİC. LTD. ŞTİ.</x:v>
      </x:c>
      <x:c r="B56" s="3" t="str">
        <x:v>https://www.bimaksan.com.tr</x:v>
      </x:c>
      <x:c r="C56" s="3" t="str">
        <x:v>‎+90 212 544 46 44</x:v>
      </x:c>
      <x:c r="D56" s="3" t="str">
        <x:v>https://www.maktekfuari.com/brand/bimaksan-cnc-takim-tezgahlari-san-ve-tic-ltd-sti</x:v>
      </x:c>
      <x:c r="E56" s="8" t="str">
        <x:v>ABDİ İPEKÇİ CAD. YÜKSEL EMİNTAŞ SAN. SİT. NO:62/F-G</x:v>
      </x:c>
      <x:c r="F56" s="3" t="str">
        <x:v>8</x:v>
      </x:c>
      <x:c r="G56" s="3" t="str">
        <x:v>804</x:v>
      </x:c>
      <x:c r="H56" s="8"/>
      <x:c r="I56" s="8"/>
      <x:c r="J56" s="8" t="str">
        <x:v>35 yıldır CNC takım tezgahları sektöründeki tecrübemizle Tongtai Topper firmasının Türkiye’deki tek yetkili satış ve servis acentası olarak faaliyet göstermekteyiz.Türkiye çapında 3000’e varan müşteri memnuniyetiyle İstanbul, Ankara, Konya, Bursa, İzmir, Eskişehir ve Antep illerindeki birimlerimiz aracılığıyla müşterilerimize hizmet vermekten gurur duymaktayız.</x:v>
      </x:c>
    </x:row>
    <x:row r="57">
      <x:c r="A57" s="3" t="str">
        <x:v>BMT MAKİNA EKİPMANLARI DANIŞMANLIK LTD ŞTİ.</x:v>
      </x:c>
      <x:c r="B57" s="3" t="str">
        <x:v>https://www.bmtmakina.com.tr</x:v>
      </x:c>
      <x:c r="C57" s="3" t="str">
        <x:v>‎+90 216 441 18 62</x:v>
      </x:c>
      <x:c r="D57" s="3" t="str">
        <x:v>https://www.maktekfuari.com/brand/bmt-makina-ekipmanlari-danismanlik-ltd-sti</x:v>
      </x:c>
      <x:c r="E57" s="8" t="str">
        <x:v>YALI MAH. M.FEVZİ ÇAKMAK CAD GARANTİ KOZA SİTESİ NO:39</x:v>
      </x:c>
      <x:c r="F57" s="3" t="str">
        <x:v>11</x:v>
      </x:c>
      <x:c r="G57" s="3" t="str">
        <x:v>1109</x:v>
      </x:c>
      <x:c r="H57" s="8"/>
      <x:c r="I57" s="8"/>
      <x:c r="J57" s="8" t="str">
        <x:v>BMT MAKİNA OLARAK MIRKA CAFRO FİRMASININ TÜRKİYE RESMİ DİSTRİBÜTÖRÜYÜZ.</x:v>
      </x:c>
    </x:row>
    <x:row r="58">
      <x:c r="A58" s="3" t="str">
        <x:v>BODOR LASER TURKEY MAKİNA TİCARET LİMİTED ŞİRKETİ</x:v>
      </x:c>
      <x:c r="B58" s="3" t="str">
        <x:v>https://www.bodor.com</x:v>
      </x:c>
      <x:c r="C58" s="3" t="str">
        <x:v>+8613012985856</x:v>
      </x:c>
      <x:c r="D58" s="3" t="str">
        <x:v>https://www.maktekfuari.com/brand/bodor-laser-turkey-makina-ticaret-limited-sirketi</x:v>
      </x:c>
      <x:c r="E58" s="8" t="str">
        <x:v>IVEDIKKOY MAH, IVEDIK KUME EVLERI, NO 160/3 MERKEZ YENIMAHALLE / ANKARA TURKEY VKN:1781493301 ]CON</x:v>
      </x:c>
      <x:c r="F58" s="3" t="str">
        <x:v>12A</x:v>
      </x:c>
      <x:c r="G58" s="3" t="str">
        <x:v>41</x:v>
      </x:c>
      <x:c r="H58" s="8"/>
      <x:c r="I58" s="8"/>
      <x:c r="J58" s="8" t="str">
        <x:v>2008 yılında kurulan Bodor; Ar-Ge, üretim, satış ve satış sonrası hizmet süreçlerini bünyesinde birleştiren, akıllı lazer kesim ve kaynak çözümleri alanında küresel bir liderdir. Dünya genelinde 3.000'den fazla çalışanıyla Bodor, 180'i aşkın ülke ve bölgedeki müşterilerine ileri teknoloji lazer kesim ve kaynak makineleri sunmaktadır. Bodor, 2019'dan 2025'e kadar lazer kesim makinesi satış hacmi bakımından dünya genelinde yedi yıl üst üste birinci sırada yer almıştır.</x:v>
      </x:c>
    </x:row>
    <x:row r="59">
      <x:c r="A59" s="3" t="str">
        <x:v>BOEHLERİT SERT METAL VE TAKIM SAN. VE TİC. A.Ş.</x:v>
      </x:c>
      <x:c r="B59" s="3" t="str">
        <x:v>https://www.boehlerit.com.tr/</x:v>
      </x:c>
      <x:c r="C59" s="3" t="str">
        <x:v>‎+90 262 677 17 37</x:v>
      </x:c>
      <x:c r="D59" s="3" t="str">
        <x:v>https://www.maktekfuari.com/brand/boehlerit-sert-metal-ve-takim-san-ve-tic-as</x:v>
      </x:c>
      <x:c r="E59" s="8" t="str">
        <x:v>Gebze OSB Mah. 1600 Sok. No: 1602/1 41400 Gebze</x:v>
      </x:c>
      <x:c r="F59" s="3" t="str">
        <x:v>11</x:v>
      </x:c>
      <x:c r="G59" s="3" t="str">
        <x:v>1118</x:v>
      </x:c>
      <x:c r="H59" s="8"/>
      <x:c r="I59" s="8"/>
      <x:c r="J59" s="8" t="str">
        <x:v>BOEHLERIT Sert Metal ve Takım Sanayi ve Ticaret A.Ş., 1967 yılında kurulmuş olup sert metal ürünlerin üretimi alanında faaliyet göstermektedir. 2013 yılında Gebze Organize Sanayi Bölgesi’ndeki modern tesisine taşınan firma, ileri teknoloji üretim altyapısı ve güçlü servis ağıyla hem Türkiye’de hem de uluslararası pazarlarda hizmet sunmaktadır. ISO 9001:2015 Kalite Yönetim Sistemi’ne sahip olan BOEHLERIT, otomotiv, makine, demir-çelik, madencilik, tekstil ve seramik gibi birçok sektöre yönelik kesici takım çözümleri üretmektedir. Ürün yelpazesinde tornalama, frezeleme, delme, profil ve boru işleme takımları yer almakta; standart ve özel tasarım ürünlerle müşteri ihtiyaçlarına çözüm sunulmaktadır. Uzun yıllara dayanan tecrübesiyle firma, yüksek kalite ve müşteri odaklı yaklaşımıyla sektörde önemli bir konuma sahiptir.</x:v>
      </x:c>
    </x:row>
    <x:row r="60">
      <x:c r="A60" s="3" t="str">
        <x:v>BOĞAZİÇİ ENDÜSTRİYEL YAĞ. KİM. MAD. SAN. VE TİC. A.Ş.</x:v>
      </x:c>
      <x:c r="B60" s="3" t="str">
        <x:v>https://www.bogazicifiltrasyon.com , www.bogaziciendustriyel.com.tr</x:v>
      </x:c>
      <x:c r="C60" s="3" t="str">
        <x:v>‎+90 549 651 76 01</x:v>
      </x:c>
      <x:c r="D60" s="3" t="str">
        <x:v>https://www.maktekfuari.com/brand/bogazici-endustriyel-yag-kim-mad-san-ve-tic-as</x:v>
      </x:c>
      <x:c r="E60" s="8" t="str">
        <x:v>İKİTELLİ OSB TÜMSAN SAN. SİT. 2. KISIM B BLOK NO:9 34490</x:v>
      </x:c>
      <x:c r="F60" s="3" t="str">
        <x:v>12A</x:v>
      </x:c>
      <x:c r="G60" s="3" t="str">
        <x:v>27</x:v>
      </x:c>
      <x:c r="H60" s="8" t="str">
        <x:v>Veze</x:v>
      </x:c>
      <x:c r="I60" s="8" t="str">
        <x:v>Veze</x:v>
      </x:c>
      <x:c r="J60" s="8"/>
    </x:row>
    <x:row r="61">
      <x:c r="A61" s="3" t="str">
        <x:v>BOĞAZİÇİ YAZILIM ANONİM ŞİRKETİ</x:v>
      </x:c>
      <x:c r="B61" s="3" t="str">
        <x:v>https://www.bogaziciyazilim.com</x:v>
      </x:c>
      <x:c r="C61" s="3" t="str">
        <x:v>‎+90 216 575 66 50</x:v>
      </x:c>
      <x:c r="D61" s="3" t="str">
        <x:v>https://www.maktekfuari.com/brand/bogazici-yazilim-anonim-sirketi</x:v>
      </x:c>
      <x:c r="E61" s="8" t="str">
        <x:v>Çayır Cad. Üçgen Plaza No:7/14 P.K.34752 İçerenköy-Ataşehir/ İSTANBUL</x:v>
      </x:c>
      <x:c r="F61" s="3" t="str">
        <x:v>12</x:v>
      </x:c>
      <x:c r="G61" s="3" t="str">
        <x:v>1202</x:v>
      </x:c>
      <x:c r="H61" s="8"/>
      <x:c r="I61" s="8" t="str">
        <x:v>Siemens Digital Industries Software</x:v>
      </x:c>
      <x:c r="J61" s="8" t="str">
        <x:v>Boğaziçi Yazılım, Siemens Digital Industries Software’ın CAD/CAM/CAE ve PLM çözümlerinde Türkiye’deki ana distribütörüdür. 35 yılı aşkın sektör tecrübesiyle 5.000’den fazla müşteriye ve 15.000’in üzerinde son kullanıcıya mühendislik hizmetleri sunmaktadır. İstanbul ve Ankara ofislerindeki uzman kadrosu ve Türkiye geneline yayılan bayi ağıyla faaliyetlerini sürdürmektedir. Otomotiv, Ulaşım, Havacılık ve Savunma, Beyaz Eşya, Makine İmalatı, Sağlık, Denizcilik ve Kalıpçılık gibi birçok sektörde; kavramsal tasarımdan ürün geliştirmeye, imalattan satış sonrası desteğe kadar uçtan uca yenilikçi çözümler sunar. Boğaziçi Yazılım’ın amacı, müşterilerinin ilk aklına gelen çözüm sağlayıcı olmak ve “Stratejik İş Ortağı” yaklaşımıyla bugünkü ve gelecekteki ihtiyaçlara sürdürülebilir çözümler üretmektir. 35 yılı aşkın bu yolculukta, bize güvenen tüm müşterilerimize teşekkür ederiz.</x:v>
      </x:c>
    </x:row>
    <x:row r="62">
      <x:c r="A62" s="3" t="str">
        <x:v>BOR CARBIDE İÇ VE DIŞ TİCARET A.Ş.</x:v>
      </x:c>
      <x:c r="B62" s="3"/>
      <x:c r="C62" s="3"/>
      <x:c r="D62" s="3" t="str">
        <x:v>https://www.maktekfuari.com/brand/bor-carbide-ic-ve-dis-ticaret-as</x:v>
      </x:c>
      <x:c r="E62" s="8"/>
      <x:c r="F62" s="3" t="str">
        <x:v>12A</x:v>
      </x:c>
      <x:c r="G62" s="3" t="str">
        <x:v>29</x:v>
      </x:c>
      <x:c r="H62" s="8"/>
      <x:c r="I62" s="8"/>
      <x:c r="J62" s="8"/>
    </x:row>
    <x:row r="63">
      <x:c r="A63" s="3" t="str">
        <x:v>BÜLENT SAĞBİLGE HMC LAZER SERVİS</x:v>
      </x:c>
      <x:c r="B63" s="3"/>
      <x:c r="C63" s="3"/>
      <x:c r="D63" s="3" t="str">
        <x:v>https://www.maktekfuari.com/brand/bulent-sagbilge-hmc-lazer-servis</x:v>
      </x:c>
      <x:c r="E63" s="8"/>
      <x:c r="F63" s="3" t="str">
        <x:v>12A</x:v>
      </x:c>
      <x:c r="G63" s="3" t="str">
        <x:v>62</x:v>
      </x:c>
      <x:c r="H63" s="8"/>
      <x:c r="I63" s="8"/>
      <x:c r="J63" s="8"/>
    </x:row>
    <x:row r="64">
      <x:c r="A64" s="3" t="str">
        <x:v>BURLA MAK. TİC. VE YATIRIM A.Ş.</x:v>
      </x:c>
      <x:c r="B64" s="3"/>
      <x:c r="C64" s="3"/>
      <x:c r="D64" s="3" t="str">
        <x:v>https://www.maktekfuari.com/brand/burla-mak-tic-ve-yatirim-as</x:v>
      </x:c>
      <x:c r="E64" s="8"/>
      <x:c r="F64" s="3" t="str">
        <x:v>4</x:v>
      </x:c>
      <x:c r="G64" s="3" t="str">
        <x:v>404</x:v>
      </x:c>
      <x:c r="H64" s="8"/>
      <x:c r="I64" s="8"/>
      <x:c r="J64" s="8"/>
    </x:row>
    <x:row r="65">
      <x:c r="A65" s="3" t="str">
        <x:v>BURMAK ENDÜSTRİYEL PAZ. TİC. A.Ş.</x:v>
      </x:c>
      <x:c r="B65" s="3" t="str">
        <x:v>https://bur-mak.com/</x:v>
      </x:c>
      <x:c r="C65" s="3" t="str">
        <x:v>‎+90 224 544 86 67</x:v>
      </x:c>
      <x:c r="D65" s="3" t="str">
        <x:v>https://www.maktekfuari.com/brand/burmak-endustriyel-paz-tic-as</x:v>
      </x:c>
      <x:c r="E65" s="8" t="str">
        <x:v>HASANBEY MAH. SELVİLİK CAD. NO: 84 A</x:v>
      </x:c>
      <x:c r="F65" s="3" t="str">
        <x:v>12A</x:v>
      </x:c>
      <x:c r="G65" s="3" t="str">
        <x:v>13B</x:v>
      </x:c>
      <x:c r="H65" s="8"/>
      <x:c r="I65" s="8" t="str">
        <x:v>Assfalg GmbH</x:v>
      </x:c>
      <x:c r="J65" s="8" t="str">
        <x:v>Burmak Endüstriyel olarak metal işleme sektörüne yönelik yenilikçi ve verimli çözümler sunuyoruz. Ürün portföyümüzde manyetik sıkma sistemleri (manyetik tabla çözümleri), kaldırma mıknatısları, kenar frezeleme ve radius frezeleme makineleri, kaynak ağzı açma sistemleri, kaynak mıknatısları ve vakumlu bağlama tablaları yer almaktadır. Amacımız, üretim süreçlerinde daha güvenli, daha hızlı ve daha hassas çalışma imkânı sağlamaktır. Yüksek kaliteli ürünlerimizle özellikle çelik konstrüksiyon, makine imalatı ve metal işleme alanlarında müşterilerimize katma değer sunuyoruz. Verimlilik, dayanıklılık ve proses güvenliği odaklı çözümlerimizle üretiminize güç katıyoruz.</x:v>
      </x:c>
    </x:row>
    <x:row r="66">
      <x:c r="A66" s="3" t="str">
        <x:v>BURPRES METAL SANAYİ A.Ş.</x:v>
      </x:c>
      <x:c r="B66" s="3" t="str">
        <x:v>https://www.burpres.com</x:v>
      </x:c>
      <x:c r="C66" s="3" t="str">
        <x:v>‎+90 542 277 66 29</x:v>
      </x:c>
      <x:c r="D66" s="3" t="str">
        <x:v>https://www.maktekfuari.com/brand/burpres-metal-sanayi-as</x:v>
      </x:c>
      <x:c r="E66" s="8" t="str">
        <x:v>Minareliçavuş Mh. NOSAB Dökümcüler Sanayi Sitesi 102. Sk. No:45-47 16220 Nilüfer / Bursa / Türkiye</x:v>
      </x:c>
      <x:c r="F66" s="3" t="str">
        <x:v>12A</x:v>
      </x:c>
      <x:c r="G66" s="3" t="str">
        <x:v>57C</x:v>
      </x:c>
      <x:c r="H66" s="8" t="str">
        <x:v>DESTAK</x:v>
      </x:c>
      <x:c r="I66" s="8"/>
      <x:c r="J66" s="8"/>
    </x:row>
    <x:row r="67">
      <x:c r="A67" s="3" t="str">
        <x:v>CANDAR METAL OTOMOTİV SAN. TİC. LTD. ŞTİ.</x:v>
      </x:c>
      <x:c r="B67" s="3"/>
      <x:c r="C67" s="3"/>
      <x:c r="D67" s="3" t="str">
        <x:v>https://www.maktekfuari.com/brand/candar-metal-otomotiv-san-tic-ltd-sti</x:v>
      </x:c>
      <x:c r="E67" s="8"/>
      <x:c r="F67" s="3" t="str">
        <x:v>11A</x:v>
      </x:c>
      <x:c r="G67" s="3" t="str">
        <x:v>43</x:v>
      </x:c>
      <x:c r="H67" s="8"/>
      <x:c r="I67" s="8"/>
      <x:c r="J67" s="8"/>
    </x:row>
    <x:row r="68">
      <x:c r="A68" s="3" t="str">
        <x:v>ÇELEBİ MAK.MÜH.SÜLEYMAN ÇELEBİ</x:v>
      </x:c>
      <x:c r="B68" s="3" t="str">
        <x:v>https://www.celebimakina.com/</x:v>
      </x:c>
      <x:c r="C68" s="3" t="str">
        <x:v>‎+90 216 471 07 30</x:v>
      </x:c>
      <x:c r="D68" s="3" t="str">
        <x:v>https://www.maktekfuari.com/brand/celebi-makmuhsuleyman-celebi</x:v>
      </x:c>
      <x:c r="E68" s="8" t="str">
        <x:v>Dudullu OSB Mah. İMES E Blok 503 Sokak No: 24 34775</x:v>
      </x:c>
      <x:c r="F68" s="3" t="str">
        <x:v>11</x:v>
      </x:c>
      <x:c r="G68" s="3" t="str">
        <x:v>1173</x:v>
      </x:c>
      <x:c r="H68" s="8" t="str">
        <x:v>Sky carbide</x:v>
      </x:c>
      <x:c r="I68" s="8" t="str">
        <x:v>HPMT INDUSTRIES SDN. BHD.</x:v>
      </x:c>
      <x:c r="J68" s="8" t="str">
        <x:v>Firmamız 2000 yılında sanayimizin metal işleme sektöründe kesici takımlar ile ilgili alanda danışmanlık, satış ve satış sonrası hizmet için bugün merkezi olan İstanbul ‘da Süleyman Çelebi tarafından kurulmuştur. Sanayimizden kazanmış olduğumuz haklı gurur ve başarılar sayesinde, kuruluşundan günümüze kadar geçen süreçte hem Türkiye hem de çevre ülkelerde adı geçen ve bilinen bir kurum haline gelmiştir. Bu bağlamda Türkiye içerisinde Bursa, İzmir ve Konya şehirlerimizdeki ana bayilik kanallarıyla sanayimizin her bölgesine hizmet vererek ve yurt dışında da İran, Rusya, Mısır gibi ülkelerdeki temsilciliklerimizle de ülkemize döviz girdisi sağlayarak haklı gurura ulaşmıştır. Üreticimize sağlamış olduğumuz çözümler ile her geçen gün büyüyen portföy ve yenilikçi ürünlerle rekabetçi yanımızla her daim hazır olarak sanayicimizin yanında olup, bu yolda hızla ilerlemekteyiz.</x:v>
      </x:c>
    </x:row>
    <x:row r="69">
      <x:c r="A69" s="3" t="str">
        <x:v>ÇELİK MAKİNA TİCARET A.Ş.</x:v>
      </x:c>
      <x:c r="B69" s="3"/>
      <x:c r="C69" s="3"/>
      <x:c r="D69" s="3" t="str">
        <x:v>https://www.maktekfuari.com/brand/celik-makina-ticaret-as</x:v>
      </x:c>
      <x:c r="E69" s="8"/>
      <x:c r="F69" s="3" t="str">
        <x:v>7</x:v>
      </x:c>
      <x:c r="G69" s="3" t="str">
        <x:v>710</x:v>
      </x:c>
      <x:c r="H69" s="8"/>
      <x:c r="I69" s="8"/>
      <x:c r="J69" s="8"/>
    </x:row>
    <x:row r="70">
      <x:c r="A70" s="3" t="str">
        <x:v>CENTRE ÖZÇELİK MAKİNA SANAYİ VE TİCARET LİMİTED ŞİRKETİ</x:v>
      </x:c>
      <x:c r="B70" s="3"/>
      <x:c r="C70" s="3"/>
      <x:c r="D70" s="3" t="str">
        <x:v>https://www.maktekfuari.com/brand/centre-ozcelik-makina-sanayi-ve-ticaret-limited-sirketi</x:v>
      </x:c>
      <x:c r="E70" s="8"/>
      <x:c r="F70" s="3" t="str">
        <x:v>12A</x:v>
      </x:c>
      <x:c r="G70" s="3" t="str">
        <x:v>13A</x:v>
      </x:c>
      <x:c r="H70" s="8"/>
      <x:c r="I70" s="8"/>
      <x:c r="J70" s="8"/>
    </x:row>
    <x:row r="71">
      <x:c r="A71" s="3" t="str">
        <x:v>CERATIZIT TURKEY KESİCİ TAKIMLAR VE KARBÜR ÇÖZÜMLERİ TİC. LTD. ŞTİ.</x:v>
      </x:c>
      <x:c r="B71" s="3"/>
      <x:c r="C71" s="3"/>
      <x:c r="D71" s="3" t="str">
        <x:v>https://www.maktekfuari.com/brand/ceratizit-turkey-kesici-takimlar-ve-karbur-cozumleri-tic-ltd-sti</x:v>
      </x:c>
      <x:c r="E71" s="8"/>
      <x:c r="F71" s="3" t="str">
        <x:v>11</x:v>
      </x:c>
      <x:c r="G71" s="3" t="str">
        <x:v>1149</x:v>
      </x:c>
      <x:c r="H71" s="8"/>
      <x:c r="I71" s="8"/>
      <x:c r="J71" s="8"/>
    </x:row>
    <x:row r="72">
      <x:c r="A72" s="3" t="str">
        <x:v>CESURBEND MAKİNA YED. PAR. İTH. İHR. SAN. TİC. LTD. ŞTİ.</x:v>
      </x:c>
      <x:c r="B72" s="3" t="str">
        <x:v>https://www.cesurbend.com/</x:v>
      </x:c>
      <x:c r="C72" s="3" t="str">
        <x:v>‎+90 545 345 86 52</x:v>
      </x:c>
      <x:c r="D72" s="3" t="str">
        <x:v>https://www.maktekfuari.com/brand/cesurbend-makina-yed-par-ith-ihr-san-tic-ltd-sti</x:v>
      </x:c>
      <x:c r="E72" s="8" t="str">
        <x:v>ÜRÜNLÜ MAH. İZMİR YOLU CAD. NO: 421/A</x:v>
      </x:c>
      <x:c r="F72" s="3" t="str">
        <x:v>1</x:v>
      </x:c>
      <x:c r="G72" s="3" t="str">
        <x:v>113/110</x:v>
      </x:c>
      <x:c r="H72" s="8" t="str">
        <x:v>CESURBEND; BRAVEBEND</x:v>
      </x:c>
      <x:c r="I72" s="8"/>
      <x:c r="J72" s="8" t="str">
        <x:v>2014 yılında kurulan Cesurbend Makina günümüzde dünya genelinde kullanılan boru şekillendirme makinalarının Türk imalatçısı olarak üretim gerçekleştirmektedir. Bursa’da, tamamen Cesurbend tarafından tasarlanan ve üretilen hidrolik sıkma boru bükme makinaları, malafalı-malafasız boru ve profil bükme makinaları, üç toplu boru ve profil kıvırma makinaları, boru ucu form makinaları, yatay pres makinaları, sıvama tipi profil bükme makinası ile aksesuar ve yedek parçaları piyasaya sürmüştür. Firmanın amacı; bükme ve imalat ihtiyaçlarının yüksek kalitedeki makineleri uygun fiyata sunarak karşılanması ve karlı çözümler üretmek, müşteri ve bayilerle uzun vadeli ilişkiler geliştirmektir. Firmamız merkezi Bursa’da olan 2600 metrekarelik fabrikada üretime devam ederek, müşteri taleplerini en hızlı ve kaliteli bir şekilde karşılamaya devam etmektedir.</x:v>
      </x:c>
    </x:row>
    <x:row r="73">
      <x:c r="A73" s="3" t="str">
        <x:v>CETEK SPRAY NOZZLE DIŞ TİC. LTD. ŞTİ</x:v>
      </x:c>
      <x:c r="B73" s="3"/>
      <x:c r="C73" s="3"/>
      <x:c r="D73" s="3" t="str">
        <x:v>https://www.maktekfuari.com/brand/cetek-spray-nozzle-dis-tic-ltd-sti</x:v>
      </x:c>
      <x:c r="E73" s="8"/>
      <x:c r="F73" s="3" t="str">
        <x:v>12A</x:v>
      </x:c>
      <x:c r="G73" s="3" t="str">
        <x:v>28</x:v>
      </x:c>
      <x:c r="H73" s="8"/>
      <x:c r="I73" s="8"/>
      <x:c r="J73" s="8"/>
    </x:row>
    <x:row r="74">
      <x:c r="A74" s="3" t="str">
        <x:v>CHİRON İSTANBUL MAK. TİC.VE SERV.LTD.ŞTİ.</x:v>
      </x:c>
      <x:c r="B74" s="3" t="str">
        <x:v>https://chiron-group.com/</x:v>
      </x:c>
      <x:c r="C74" s="3" t="str">
        <x:v>‎+90 212 612 12 11</x:v>
      </x:c>
      <x:c r="D74" s="3" t="str">
        <x:v>https://www.maktekfuari.com/brand/chiron-istanbul-mak-ticve-servltdsti</x:v>
      </x:c>
      <x:c r="E74" s="8" t="str">
        <x:v>Muratpaşa Mahallesi Uluyol Caddesi No: 19 İstanbul Tower Plaza Kat: 13 D:59-60</x:v>
      </x:c>
      <x:c r="F74" s="3" t="str">
        <x:v>10</x:v>
      </x:c>
      <x:c r="G74" s="3" t="str">
        <x:v>1014</x:v>
      </x:c>
      <x:c r="H74" s="8"/>
      <x:c r="I74" s="8"/>
      <x:c r="J74" s="8" t="str">
        <x:v>CHIRON Grubu dünya çapında lider işleme merkezi ve işleme çözümleri üreticilerinden biridir. Grup, dünya çapında üretim ve geliştirme merkezleri, satış ve servis büroları ve ticari acentelerle temsil edilmektedir.</x:v>
      </x:c>
    </x:row>
    <x:row r="75">
      <x:c r="A75" s="3" t="str">
        <x:v>CLASS CNC MÜHENDİSLİK MAKİNA SAN.VE TİC.A.Ş.</x:v>
      </x:c>
      <x:c r="B75" s="3" t="str">
        <x:v>https://classcnc.com.tr/</x:v>
      </x:c>
      <x:c r="C75" s="3" t="str">
        <x:v>‎+90 224 504 64 30</x:v>
      </x:c>
      <x:c r="D75" s="3" t="str">
        <x:v>https://www.maktekfuari.com/brand/class-cnc-muhendislik-makina-sanve-ticas</x:v>
      </x:c>
      <x:c r="E75" s="8" t="str">
        <x:v>ALAADDİNBEY MAH. 619. SOK. NO: 4/J 4/K</x:v>
      </x:c>
      <x:c r="F75" s="3" t="str">
        <x:v>12</x:v>
      </x:c>
      <x:c r="G75" s="3" t="str">
        <x:v>1208A</x:v>
      </x:c>
      <x:c r="H75" s="8" t="str">
        <x:v>CMZ; ZAYER; US WHEELER; TORNOS; BELOTTI; GURUTZPE</x:v>
      </x:c>
      <x:c r="I75" s="8" t="str">
        <x:v>Belotti; US WHEELER; GURUTZPE; STARVISION; TORNOS; CMZ; ZAYER</x:v>
      </x:c>
      <x:c r="J75" s="8" t="str">
        <x:v>Başta Makina Sektörü olmak üzere Otomotiv Sanayi, Savunma ve Havacılık ve Kalıp Sanayi’nin kullandığı makinaların İthalat, İhracat ve Satışını yürütmekte olup müşterilerimize ve topluma yenilikçi, ileri düzey teknoloji ile standartlara uygun, en yüksek kalite ve güvenliğe sahip ürün ve servisi, üst düzey mühendislik çözümleri ile sunmak temel değerimizdir. US WHELEER, CMZ, TORNOS, ZAYER, STARVISION,BELOTTİ, GURUTZPE gibi yüksek hız ve kaliteye sahip üretime yüksek katma değer sağlayan takım tezgâhlarının Türkiye temsilciliğini başarıyla yürütüyoruz. Türkiye sanayisinin gücüne güç katmaya ve bir marka değeri oluşturmaya devam ediyoruz. Satış öncesi olduğu kadar, satış sonrası servis hizmetlerimizde de maksimum memnuniyeti sağlamaktayız. Müşterilerimize sürekli memnuniyet sağlayarak uzun soluklu, sağlıklı ilişkilere imza atmakta, seçkin, yenilikçi rolümüz ile gelişime açık, yaratıcı ve üstün performans sergileyecek potansiyeli bünyemizde yaşatmaktayız.</x:v>
      </x:c>
    </x:row>
    <x:row r="76">
      <x:c r="A76" s="3" t="str">
        <x:v>CMS MAKİNE VE DANIŞMANLIK SAN VE TİC LTD ŞTİ</x:v>
      </x:c>
      <x:c r="B76" s="3" t="str">
        <x:v>http://www.cms.biz.tr</x:v>
      </x:c>
      <x:c r="C76" s="3" t="str">
        <x:v>‎+90 212 565 63 70</x:v>
      </x:c>
      <x:c r="D76" s="3" t="str">
        <x:v>https://www.maktekfuari.com/brand/cms-makine-ve-danismanlik-san-ve-tic-ltd-sti</x:v>
      </x:c>
      <x:c r="E76" s="8" t="str">
        <x:v>YENİDOĞAN MAH. SAHABELER SOKAK. HEKİMOĞLU PLAZA NO: 14/16H BAYRAMPAŞA/İSTANBUL</x:v>
      </x:c>
      <x:c r="F76" s="3" t="str">
        <x:v>7</x:v>
      </x:c>
      <x:c r="G76" s="3" t="str">
        <x:v>715</x:v>
      </x:c>
      <x:c r="H76" s="8"/>
      <x:c r="I76" s="8" t="str">
        <x:v>LEADYANG PRECISION TECHNOLOGY CO.LTD; YOU JI MACHINE IND.CO.LTD; FOOKE GMBH; SMART MACHINE TOOL</x:v>
      </x:c>
      <x:c r="J76" s="8" t="str">
        <x:v>İlk olarak İSTANBUL ve KONYA’da yerleşik düzenle, 2003 yılında faaliyetlerine başlayan, sanayi kökenli bir firma, CMS CNC MAKİNE SAN. TİC. LTD. ŞTİ. Türkiye’deki sanayi haritasını iyi bilen yönetici kadrosuna sahip olmakla birlikte geniş bilgi birikimi ve tecrübesiyle, YOU-JI / AGMA / ATECK / SAPORITI/LEADYANG/FOOKE /SMART CNC TAKIM TEZGAHLARININ, tüm Türkiye’de satışını ve teknik servisini, ülke ekonomisine büyük katkı sağlayan siz değerli sanayicilerimize, titizlikle sunarak, sektörün aranan bir firması olmayı başarmıştır. Firmamız satış hizmetiyle birlikte, satışını yapmış olduğumuz ürünlerin ETKİN TEKNİK SERVİS hizmetini de vermektedir. Teknolojide meydana gelen hızlı gelişimi takip ederek \"ETKİN SERVİS’ ilkesini prensip edinen firmamız, sunduğu çözümlerle bilgi yönetimi konusunda müşterilerimizin vazgeçilmez bir hizmet sağlayıcısı olmayı da başarmıştır.</x:v>
      </x:c>
    </x:row>
    <x:row r="77">
      <x:c r="A77" s="3" t="str">
        <x:v>CNC İLERİ TEKNOLOJİ VE TİC.A.Ş.</x:v>
      </x:c>
      <x:c r="B77" s="3" t="str">
        <x:v>https://cnc.com.tr/</x:v>
      </x:c>
      <x:c r="C77" s="3" t="str">
        <x:v>‎+90 212 786 62 00</x:v>
      </x:c>
      <x:c r="D77" s="3" t="str">
        <x:v>https://www.maktekfuari.com/brand/cnc-ileri-teknoloji-ve-ticas</x:v>
      </x:c>
      <x:c r="E77" s="8" t="str">
        <x:v>İstanbul Trakya Serbest Bölgesi Atatürk Bulvarı Begonya Sok. Blok 1 34540</x:v>
      </x:c>
      <x:c r="F77" s="3" t="str">
        <x:v>7</x:v>
      </x:c>
      <x:c r="G77" s="3" t="str">
        <x:v>707A</x:v>
      </x:c>
      <x:c r="H77" s="8"/>
      <x:c r="I77" s="8" t="str">
        <x:v>MAKINO</x:v>
      </x:c>
      <x:c r="J77" s="8" t="str">
        <x:v>1996 Yılında Yair Geller tarafından kurulan CNC ILERI TEKNOLOJI firması, kurulduğu ilk günden beri müşterilerine sadece takım tezgahları alanında değil; mühendislik hizmetleri, fikstür tasarımı, anahtar teslim projeler ve otomasyon alanında da hizmet vermektedir. Global sayısız anahtar teslim proje teslimatı ile birlikte 22 ayrı ülkeye ihraç edilen otomasyon sistemi BOXY AUTOLOADER ve yeni yerli CNC tezgahı YGM REVO ile birlikte uluslararası başarılara imza atmaktadır.</x:v>
      </x:c>
    </x:row>
    <x:row r="78">
      <x:c r="A78" s="3" t="str">
        <x:v>CNC SİSTEM SAN. TİC. LTD. ŞTİ</x:v>
      </x:c>
      <x:c r="B78" s="3"/>
      <x:c r="C78" s="3"/>
      <x:c r="D78" s="3" t="str">
        <x:v>https://www.maktekfuari.com/brand/cnc-sistem-san-tic-ltd-sti</x:v>
      </x:c>
      <x:c r="E78" s="8"/>
      <x:c r="F78" s="3" t="str">
        <x:v>12</x:v>
      </x:c>
      <x:c r="G78" s="3" t="str">
        <x:v>1206</x:v>
      </x:c>
      <x:c r="H78" s="8"/>
      <x:c r="I78" s="8"/>
      <x:c r="J78" s="8"/>
    </x:row>
    <x:row r="79">
      <x:c r="A79" s="3" t="str">
        <x:v>CSB TEKNİK MAKİNA SAN. TİC. LTD. ŞTİ.</x:v>
      </x:c>
      <x:c r="B79" s="3"/>
      <x:c r="C79" s="3"/>
      <x:c r="D79" s="3" t="str">
        <x:v>https://www.maktekfuari.com/brand/csb-teknik-makina-san-tic-ltd-sti</x:v>
      </x:c>
      <x:c r="E79" s="8"/>
      <x:c r="F79" s="3" t="str">
        <x:v>1</x:v>
      </x:c>
      <x:c r="G79" s="3" t="str">
        <x:v>115</x:v>
      </x:c>
      <x:c r="H79" s="8"/>
      <x:c r="I79" s="8"/>
      <x:c r="J79" s="8" t="str">
        <x:v>Csb Press, sanayide ve atölyelerde kullanılan yüksek kaliteli pres makineleri üreten öncü bir markadır. Müşterilerimize güvenilir, verimli ve yenilikçi çözümler sunmak için çaba gösteriyoruz. Tecrübemiz ve uzmanlığımızla, müşterilerimizin üretim süreçlerini optimize etmelerine yardımcı oluyor ve endüstri standartlarını aşan çözümler sunuyoruz. Teknolojide Liderlik Csb Press, teknolojiye olan sürekli yatırımlar sayesinde endüstrideki en son gelişmeleri takip eder ve ürünlerimizi sürekli olarak iyileştirmek için en yeni teknolojileri entegre eder. Bu yaklaşımımız, müşterilerimize en yüksek performansı ve verimliliği sunmamıza olanak tanır. Kalite ve Güvenilirlik Ürünlerimizde kalite ve güvenilirlik her zaman önceliğimizdir. Titiz bir kalite kontrol süreciyle, müşterilerimize en üst düzeyde dayanıklılık ve performans sağlamak için çalışıyoruz. Csb Press olarak, müşterilerimizin ihtiyaçlarını karşılamak için en iyi kalitede malzemeleri kullanıyoruz ve her aşamada mükemmelliği hedefliyoruz.</x:v>
      </x:c>
    </x:row>
    <x:row r="80">
      <x:c r="A80" s="3" t="str">
        <x:v>CSM TURKEY MAKİNA SAN. İTH.İHR. DAN. TİC. LTD. ŞTİ.</x:v>
      </x:c>
      <x:c r="B80" s="3" t="str">
        <x:v>http://www.tubebender.com.tw</x:v>
      </x:c>
      <x:c r="C80" s="3" t="str">
        <x:v>‎+90 216 504 92 25</x:v>
      </x:c>
      <x:c r="D80" s="3" t="str">
        <x:v>https://www.maktekfuari.com/brand/csm-turkey-makina-san-ithihr-dan-tic-ltd-sti</x:v>
      </x:c>
      <x:c r="E80" s="8" t="str">
        <x:v>Veysel Karani Mah. Colakoglu Sok. No: 10 D: 59 Rings Rezidans</x:v>
      </x:c>
      <x:c r="F80" s="3" t="str">
        <x:v>6</x:v>
      </x:c>
      <x:c r="G80" s="3" t="str">
        <x:v>614</x:v>
      </x:c>
      <x:c r="H80" s="8"/>
      <x:c r="I80" s="8" t="str">
        <x:v>CHIAO SHENG MACHINERY CO LTD</x:v>
      </x:c>
      <x:c r="J80" s="8" t="str">
        <x:v>CSM (CHIAO SHENG MACHINERY CO LTD) firmamızın temelleri 1980 yılında Tayvan da atılmış olup CNC, NC ve Konvansiyonel Tip Boru Bükme makinaları, CNC Tel Büküm makinası, Boru Ucu Form Verme makinaları, NC ve Konvansiyonel Tip Boru-Profil Kesim makinalarının üretimi, satışı ve satış sonrası hizmet veren uluslararası bir firmadır. Üretim yerimiz Tayvan olup ISO 9001 ve CE normlarında üretim yapılmaktadır. Yaklaşık 27 yıldır siz değerli müşterilerimize distribütör kanalı ile satış ve servis hizmeti veren CSM; Eylül 2016 tarihi itibarı ile İstanbul ofisini açarak aracısız satış ve servis hizmetini direk vermeye başlamıştır. Yeni ekibiyle beraber en iyi hizmeti en hızlı ve uygun fiyat garantisi ile siz dostlarımıza sunmaya devam edeceğiz. http://www.tubebender.com.tw/ https://youtu.be/-pQPxrCU0jc https://youtu.be/R-N6msU_4PA https://youtu.be/hsqTxynGCzc Boru ile ilgili her türlü çözüm ortağınız olmaya hazırız.</x:v>
      </x:c>
    </x:row>
    <x:row r="81">
      <x:c r="A81" s="3" t="str">
        <x:v>ÇUKUROVA İKLİMLENDİRME A.Ş.</x:v>
      </x:c>
      <x:c r="B81" s="3" t="str">
        <x:v>https://www.cukurovaisi.com/tr/</x:v>
      </x:c>
      <x:c r="C81" s="3" t="str">
        <x:v>‎+90 262 751 33 66</x:v>
      </x:c>
      <x:c r="D81" s="3" t="str">
        <x:v>https://www.maktekfuari.com/brand/cukurova-iklimlendirme-as</x:v>
      </x:c>
      <x:c r="E81" s="8" t="str">
        <x:v>Atatürk Bulvarı Gebze Plastikçiler Organize Sanayi Bölgesi No:28, İnönü Gebze Plastikçiler OSB, 41400 Gebze/Kocaeli, Türkiye</x:v>
      </x:c>
      <x:c r="F81" s="3" t="str">
        <x:v>6</x:v>
      </x:c>
      <x:c r="G81" s="3" t="str">
        <x:v>630D</x:v>
      </x:c>
      <x:c r="H81" s="8"/>
      <x:c r="I81" s="8"/>
      <x:c r="J81" s="8" t="str">
        <x:v>1991 yılında kurulan Çukurova Isı, büyük hacimler için tasarlanmış ısıtma sistemlerinde uzmanlaşarak yıllar içinde ürün yelpazesini genişletmiştir. On yıllardır sektördeki pazar liderliğini koruyan firmanın öne çıkan özellikleri şunlardır: Küresel ve Yerli Güç: 6 farklı ülkedeki 11 firmanın Türkiye distribütörlüğünü yürütürken, GOLDSUN ve SILVERSUN markalarıyla yerli üretim yapmaktadır. AR-GE ve İnovasyon: 2000 yılından bu yana GOLDSUN markasıyla kısa dalga infrared ısıtıcılar üretmekte, teknolojik gelişmeleri AR-GE yatırımlarıyla desteklemektedir. Müşteri Odaklılık: Proje aşamasından satış sonrasına kadar müşteri sorunlarını sahiplenerek yüksek kalite ve memnuniyet sağlar. Kalite ve Sürdürülebilirlik: Çevreye saygılı, iş sağlığı ve güvenliği mevzuatlarına tam uyumlu çalışan şirket, sektöründe ISO 9001 sertifikasına sahip tek firmadır.</x:v>
      </x:c>
    </x:row>
    <x:row r="82">
      <x:c r="A82" s="3" t="str">
        <x:v>DCB LAZER TEKNOLOJİLERİ SAN. TİC. LTD. ŞTİ.</x:v>
      </x:c>
      <x:c r="B82" s="3"/>
      <x:c r="C82" s="3"/>
      <x:c r="D82" s="3" t="str">
        <x:v>https://www.maktekfuari.com/brand/dcb-lazer-teknolojileri-san-tic-ltd-sti</x:v>
      </x:c>
      <x:c r="E82" s="8"/>
      <x:c r="F82" s="3" t="str">
        <x:v>12A</x:v>
      </x:c>
      <x:c r="G82" s="3" t="str">
        <x:v>34</x:v>
      </x:c>
      <x:c r="H82" s="8"/>
      <x:c r="I82" s="8"/>
      <x:c r="J82" s="8"/>
    </x:row>
    <x:row r="83">
      <x:c r="A83" s="3" t="str">
        <x:v>DEKUMA MAKİNE SAN. VE TİC. LTD. ŞTİ.</x:v>
      </x:c>
      <x:c r="B83" s="3" t="str">
        <x:v>https://dekuma.com.tr</x:v>
      </x:c>
      <x:c r="C83" s="3" t="str">
        <x:v>‎+90 224 503 74 00</x:v>
      </x:c>
      <x:c r="D83" s="3" t="str">
        <x:v>https://www.maktekfuari.com/brand/dekuma-makine-san-ve-tic-ltd-sti</x:v>
      </x:c>
      <x:c r="E83" s="8" t="str">
        <x:v>Alaaddinbey Mah. Pazar Caddesi Sam2 Plaza No:1/11 16120 Nilüfer / Bursa / TÜRKİYE</x:v>
      </x:c>
      <x:c r="F83" s="3" t="str">
        <x:v>11A</x:v>
      </x:c>
      <x:c r="G83" s="3" t="str">
        <x:v>10</x:v>
      </x:c>
      <x:c r="H83" s="8"/>
      <x:c r="I83" s="8"/>
      <x:c r="J83" s="8" t="str">
        <x:v>DEKUMA, Türkiye’de metal işleme makineleri ithalatı alanında güvenilir çözüm ortağınızdır. DEKUMA, Türkiye’de metal işleme makineleri ithalatı alanında güvenilir çözüm ortağınızdır. Yurt dışındaki önde gelen üreticilerden tedarik ettiğimiz CNC makineleri, sanayi makineleri ve endüstriyel üretim çözümleri ile işletmelerin üretim süreçlerini daha verimli, hızlı ve kaliteli hale getirmeyi hedefliyoruz. Amacımız, Türkiye sanayisini en yeni teknolojiyle buluşturmak ve firmaların rekabet gücünü artırmaktır. Bu nedenle yalnızca yüksek performanslı ve dayanıklı makineleri ithal etmekle kalmıyor, aynı zamanda satış sonrası kurulum, teknik servis ve danışmanlık hizmetlerimizle de müşterilerimizin yanında yer alıyoruz. DEKUMA, “kalite, güven ve müşteri memnuniyeti” ilkeleriyle hareket ederek Türkiye’nin dört bir yanında sanayi kuruluşlarına değer katmaya devam ediyor. Metal işleme makineleri ithalatında güvenilir partner arayan firmalar için doğru adres olmaktan gurur duyuyoruz.</x:v>
      </x:c>
    </x:row>
    <x:row r="84">
      <x:c r="A84" s="3" t="str">
        <x:v>DELTA KALIP ELEMANLARI SAN. VE TİC.A.Ş.</x:v>
      </x:c>
      <x:c r="B84" s="3" t="str">
        <x:v>https://www.deltakalip.com/</x:v>
      </x:c>
      <x:c r="C84" s="3" t="str">
        <x:v>‎+90 262 728 10 10</x:v>
      </x:c>
      <x:c r="D84" s="3" t="str">
        <x:v>https://www.maktekfuari.com/brand/delta-kalip-elemanlari-san-ve-ticas</x:v>
      </x:c>
      <x:c r="E84" s="8" t="str">
        <x:v>Mermerciler San. Sitesi 6. Cad. 10. Sok. No: 1</x:v>
      </x:c>
      <x:c r="F84" s="3" t="str">
        <x:v>11</x:v>
      </x:c>
      <x:c r="G84" s="3" t="str">
        <x:v>1160</x:v>
      </x:c>
      <x:c r="H84" s="8"/>
      <x:c r="I84" s="8" t="str">
        <x:v>ICAM</x:v>
      </x:c>
      <x:c r="J84" s="8" t="str">
        <x:v>1993 yılında kurucumuz Remzi Sakaoğlu tarafından kurulan Delta Kalıp, enjeksiyon ve metal kalıplarda kullanılan merkezleme elemanlarını üretmektedir. Bugün itibariyle gerçekleştirdiği teknolojik yatırımlar, müşterilerine sağladığı kalite, zaman ve maliyet avantajı, yarattığı istihdam ile kalıpçılık sektörünün lider firması olmuştur. Delta Kalıp, 5.000 m2 kapalı alanı, 55 tecrübeli personeli, 1.771.000 kg/yıl üretim kapasitesi ile yurt içinde ve yurtdışında saygın bir yer edinmiştir. Türkiye geneline seçkin bayiler ile, ana sanayi ve büyük yan sanayi firmalarına ise direkt satış yapmaktadır. Avrupa’nın sayılı firmalarına yaptığı, giderek artan ihracatı ile kalitesini yurtiçi ve yurtdışında kanıtlamıştır.</x:v>
      </x:c>
    </x:row>
    <x:row r="85">
      <x:c r="A85" s="3" t="str">
        <x:v>DEMETAL KALIP VE MAK. SAN. TİC. A.Ş.</x:v>
      </x:c>
      <x:c r="B85" s="3"/>
      <x:c r="C85" s="3"/>
      <x:c r="D85" s="3" t="str">
        <x:v>https://www.maktekfuari.com/brand/demetal-kalip-ve-mak-san-tic-as</x:v>
      </x:c>
      <x:c r="E85" s="8"/>
      <x:c r="F85" s="3" t="str">
        <x:v>12A</x:v>
      </x:c>
      <x:c r="G85" s="3" t="str">
        <x:v>11</x:v>
      </x:c>
      <x:c r="H85" s="8"/>
      <x:c r="I85" s="8"/>
      <x:c r="J85" s="8"/>
    </x:row>
    <x:row r="86">
      <x:c r="A86" s="3" t="str">
        <x:v>DEMİRAL MAKİNE İNŞ. VE PAZ. SAN. TİC. A.Ş.</x:v>
      </x:c>
      <x:c r="B86" s="3" t="str">
        <x:v>http://www.demiralmakina.com.tr</x:v>
      </x:c>
      <x:c r="C86" s="3" t="str">
        <x:v>‎+90 232 501 17 23</x:v>
      </x:c>
      <x:c r="D86" s="3" t="str">
        <x:v>https://www.maktekfuari.com/brand/demiral-makine-ins-ve-paz-san-tic-as</x:v>
      </x:c>
      <x:c r="E86" s="8" t="str">
        <x:v>KEMALPAŞA OSB MAH. 76 SK. NO: 13 İÇ KAPI NO: 1 KEMALPAŞA/ İZMİR</x:v>
      </x:c>
      <x:c r="F86" s="3" t="str">
        <x:v>11</x:v>
      </x:c>
      <x:c r="G86" s="3" t="str">
        <x:v>1123</x:v>
      </x:c>
      <x:c r="H86" s="8"/>
      <x:c r="I86" s="8" t="str">
        <x:v>BIG DAISHOWA Co., Ltd.</x:v>
      </x:c>
      <x:c r="J86" s="8" t="str">
        <x:v>Demiral Makina 2000 yılında bir aile şirketi olarak kuruldu. 2005 yılında metal işleme sektörüne adım atan firmamız farklı segmentlere hitap eden hızlı ve kaliteli ürünleriyle sektörüne kalıcı ve kaliteli çözümler sunmak için çalışıyor. Genç ve dinamik kadrosuyla firmamız tüm cnc tezgah ve sanayi ihtiyaçlarına göre hızından ve kalitesinden ödün vermeyen matkap ve kesici takımlar, baralama sistemleri, takım tutucu, kesici uçlar ve uzun ömürlü kalıp elemanları satışı ile takım tezgahları, metal - sac işleme makineleri, kalite kontrol – ölçüm sistemleri, CAD/CAM, PLM yazılımları ve üretim teknolojileri alanlarında faaliyet gösteren sektörlerin öncelikli tercihidir.</x:v>
      </x:c>
    </x:row>
    <x:row r="87">
      <x:c r="A87" s="3" t="str">
        <x:v>DENER MAK. SAN VE TİC AŞ</x:v>
      </x:c>
      <x:c r="B87" s="3" t="str">
        <x:v>http://www.dener.com/</x:v>
      </x:c>
      <x:c r="C87" s="3" t="str">
        <x:v>‎+90 549 838 88 86</x:v>
      </x:c>
      <x:c r="D87" s="3" t="str">
        <x:v>https://www.maktekfuari.com/brand/dener-mak-san-ve-tic-as</x:v>
      </x:c>
      <x:c r="E87" s="8" t="str">
        <x:v>Sultansazı OSB 6. Sok. No: 12, 38560</x:v>
      </x:c>
      <x:c r="F87" s="3" t="str">
        <x:v>3</x:v>
      </x:c>
      <x:c r="G87" s="3" t="str">
        <x:v>318</x:v>
      </x:c>
      <x:c r="H87" s="8"/>
      <x:c r="I87" s="8"/>
      <x:c r="J87" s="8" t="str">
        <x:v>Dener Makina, 1974’te Mustafa DENER tarafından Kayseri’de kuruldu. İlk yıllarda ithal otomotiv yedek parçalarının yerli üretimini gerçekleştirerek sektörde tanındı. 1980’de ürün gamını genişleterek Mercedes, Ford, Mitsubishi gibi markalara yedek parça üretti. 1990’da makine sektörüne girerek pancar boşaltma makineleriyle tarımda makineleşmeye katkı sağladı. 2000’li yıllardan itibaren CNC sac işleme makinelerine odaklanarak; giyotin makas, abkant pres, plazma ve fiber lazer kesim makineleri üretti. Bugün 86 ülkeye ihracat yapmakta ve elektrikli servo abkant üretiminde dünyada ilk iki üreticiden biridir. 1500’ü aşkın tedarikçiyle çalışmakta, yerli üretim ve nitelikli iş gücüyle hem ekonomiye hem beşeri sermayeye katkı sağlamaktadır. “Türkiye ve Dünya’ya; Türkiye için değer üretir” anlayışıyla büyümeye devam etmektedir.</x:v>
      </x:c>
    </x:row>
    <x:row r="88">
      <x:c r="A88" s="3" t="str">
        <x:v>DİRİNLER MAKİNA SAN.VE TİCARET A.Ş.</x:v>
      </x:c>
      <x:c r="B88" s="3" t="str">
        <x:v>https://www.dirinler.com.tr</x:v>
      </x:c>
      <x:c r="C88" s="3" t="str">
        <x:v>‎+90 232 376 72 00</x:v>
      </x:c>
      <x:c r="D88" s="3" t="str">
        <x:v>https://www.maktekfuari.com/brand/dirinler-makina-sanve-ticaret-as</x:v>
      </x:c>
      <x:c r="E88" s="8" t="str">
        <x:v>A.O.S.B. 10036 Sokak No:7 Çiğli</x:v>
      </x:c>
      <x:c r="F88" s="3" t="str">
        <x:v>8</x:v>
      </x:c>
      <x:c r="G88" s="3" t="str">
        <x:v>809</x:v>
      </x:c>
      <x:c r="H88" s="8"/>
      <x:c r="I88" s="8"/>
      <x:c r="J88" s="8" t="str">
        <x:v>Dirinler Makina Sanayi ve Ticaret A.Ş. 1952 yılında İzmir’de kurulmuştur. Şu anda 18.000 metrekaresi kapalı, toplam 24.000 metrekarelik alan üzerinde 60 ton ile 250 ton kapasiteler arasında C tipi Eksantrik Presler, 160 ton ile 3.000 ton kapasiteler arasında H tipi Eksantrik, Knuckle joint. Link Drive, Servo Presler, 60 ton ile 160 ton kapasiteler arasında C tipi Hidrolik Presler, 250 ton ile 3.000 ton kapasiteler arasında H tipi Hidrolik Presler üretilmektedir.</x:v>
      </x:c>
    </x:row>
    <x:row r="89">
      <x:c r="A89" s="3" t="str">
        <x:v>DMS CNC MAKİNA SAN VE TİC LTD ŞTİ</x:v>
      </x:c>
      <x:c r="B89" s="3" t="str">
        <x:v>https://www.dmscnc.com/</x:v>
      </x:c>
      <x:c r="C89" s="3" t="str">
        <x:v>‎+90 332 345 18 38</x:v>
      </x:c>
      <x:c r="D89" s="3" t="str">
        <x:v>https://www.maktekfuari.com/brand/dms-cnc-makina-san-ve-tic-ltd-sti</x:v>
      </x:c>
      <x:c r="E89" s="8" t="str">
        <x:v>Büsan Özel Organize Sanayi Sitesi Fevzi Çakmak Mah. 10642. Sokak No: 38 PK. 42210</x:v>
      </x:c>
      <x:c r="F89" s="3" t="str">
        <x:v>8</x:v>
      </x:c>
      <x:c r="G89" s="3" t="str">
        <x:v>808</x:v>
      </x:c>
      <x:c r="H89" s="8" t="str">
        <x:v>HARTFORD; SHINZAWA; HANKOOK</x:v>
      </x:c>
      <x:c r="I89" s="8" t="str">
        <x:v>SHE HONG INDUSTRIAL CO. LTD; SHINZAWA; HANKOOK MACHINE TOOLS</x:v>
      </x:c>
      <x:c r="J89" s="8" t="str">
        <x:v>1981 YILINDA Konya Karatay Sanayi’nde 100m2 lik bir atölyede torna işleri ve fason imalat yaparak iş hayatına başlayan DMS CNC MAKİNA, Konya’da CNC destekli üretimin öncü kuruluşlarından biri olmuştur. Makine parkını 8 adet CNC’ye çıkararak üretim kapasitesini artırmış ve 1996 yılına kadar ülkemizin önde gelen önemli firmalarına yedek parça imalatı yapmıştır. 1996 yılından itibaren CNC makine satışına da başlayan DMS CNC MAKİNA, müşterilerine daha kaliteli ve hızlı servis hizmeti verebilmek için 1997 yılında servis firması olan HAN ELEKTRONİK firmasını kurmuş ve yatırımlarına tamamen CNC Satış ve Servis üzerine devam ederek kısa süre içerisinde önemli referanslara sahip olmuş, ürün ve hizmet kalitesini ispatlamıştır. 2000’li yıllarda büyük illerde kendi şubelerini açan DMS CNC MAKİNA, Konya merkez olmak üzere, İstanbul, İzmir, Bursa, Ankara Şubeleri ve Kayseri servis noktasında dinamik satış ve servis ekibi ile Türk sanayicisine kaliteli ve profesyonel hizmet vermektedir.</x:v>
      </x:c>
    </x:row>
    <x:row r="90">
      <x:c r="A90" s="3" t="str">
        <x:v>DORA CNC SAN. VE TİC. LTD. ŞTİ.</x:v>
      </x:c>
      <x:c r="B90" s="3" t="str">
        <x:v>https://www.doracnc.com</x:v>
      </x:c>
      <x:c r="C90" s="3" t="str">
        <x:v>‎+90 533 332 80 05</x:v>
      </x:c>
      <x:c r="D90" s="3" t="str">
        <x:v>https://www.maktekfuari.com/brand/dora-cnc-san-ve-tic-ltd-sti</x:v>
      </x:c>
      <x:c r="E90" s="8" t="str">
        <x:v>FEVZİ ÇAKMAK MH.10753.SK. KOBİSAN-3 SAN.SİT. NO:30AAF</x:v>
      </x:c>
      <x:c r="F90" s="3" t="str">
        <x:v>12A</x:v>
      </x:c>
      <x:c r="G90" s="3" t="str">
        <x:v>45</x:v>
      </x:c>
      <x:c r="H90" s="8"/>
      <x:c r="I90" s="8"/>
      <x:c r="J90" s="8" t="str">
        <x:v>firmamız 2017 yılında kurulmuş olup cnc (sıfır ve ikinci el) makine satışı ve fason talaşlı imalat alanlarında faaliyet göstermektedir.</x:v>
      </x:c>
    </x:row>
    <x:row r="91">
      <x:c r="A91" s="3" t="str">
        <x:v>DR ELEKTRİK MAK.MÜH.OTOM.İNŞ.SAN.VE TİC.LTD.ŞTİ.</x:v>
      </x:c>
      <x:c r="B91" s="3" t="str">
        <x:v>http://www.drmakine.com/</x:v>
      </x:c>
      <x:c r="C91" s="3" t="str">
        <x:v>‎+90 532 696 15 47</x:v>
      </x:c>
      <x:c r="D91" s="3" t="str">
        <x:v>https://www.maktekfuari.com/brand/dr-elektrik-makmuhotominssanve-ticltdsti</x:v>
      </x:c>
      <x:c r="E91" s="8" t="str">
        <x:v>Fevzi Çakmak Mah. 10753 Sok. No: 13 A Altınsan Sanayi Sitesi Post Code: 42050</x:v>
      </x:c>
      <x:c r="F91" s="3" t="str">
        <x:v>9</x:v>
      </x:c>
      <x:c r="G91" s="3" t="str">
        <x:v>919</x:v>
      </x:c>
      <x:c r="H91" s="8"/>
      <x:c r="I91" s="8"/>
      <x:c r="J91" s="8" t="str">
        <x:v>DR Elektrik. Makine Mühendislik San.Tic.Ltd.Şti. Mart-2011 de kurulmuş bir Limited şirkettir. Şirketin ana faaliyet konusu Cnc Kontrollü Takım Tezgahlarının satış, teknik servis ve yedek parça temini konularıdır. .Tayvan menşeili CNC kontrollü takım tezgahlarının satışı ile sektör faaliyetlerine başlamışlardır. Bu firmaların hepsi uzun yıllardır Taiwan’da üretim yapan, dünyanın pek çok ülkesine ürün satışı gerçekleştirmiş, sektöründe tecrübeli firmalardır. Zira Türk sanayicisi makine markasından ziyade üzerindeki donanımı ve bu işe aracılık eden firmanın teknik destek konusundaki yeterliliğini dikkate almaktadır. saygılar sunarız.</x:v>
      </x:c>
    </x:row>
    <x:row r="92">
      <x:c r="A92" s="3" t="str">
        <x:v>DÜNYA MEDYA BAS. YAY. REK. TAN. HİZ. İLKER KAPLAN</x:v>
      </x:c>
      <x:c r="B92" s="3"/>
      <x:c r="C92" s="3"/>
      <x:c r="D92" s="3" t="str">
        <x:v>https://www.maktekfuari.com/brand/dunya-medya-bas-yay-rek-tan-hiz-ilker-kaplan</x:v>
      </x:c>
      <x:c r="E92" s="8"/>
      <x:c r="F92" s="3" t="str">
        <x:v>SalonNo</x:v>
      </x:c>
      <x:c r="G92" s="3" t="str">
        <x:v>StandNo</x:v>
      </x:c>
      <x:c r="H92" s="8"/>
      <x:c r="I92" s="8"/>
      <x:c r="J92" s="8"/>
    </x:row>
    <x:row r="93">
      <x:c r="A93" s="3" t="str">
        <x:v>DURMAZLAR MAKİNA SAN. VE TİC. A. Ş.</x:v>
      </x:c>
      <x:c r="B93" s="3"/>
      <x:c r="C93" s="3"/>
      <x:c r="D93" s="3" t="str">
        <x:v>https://www.maktekfuari.com/brand/durmazlar-makina-san-ve-tic-a-s</x:v>
      </x:c>
      <x:c r="E93" s="8"/>
      <x:c r="F93" s="3" t="str">
        <x:v>3</x:v>
      </x:c>
      <x:c r="G93" s="3" t="str">
        <x:v>304</x:v>
      </x:c>
      <x:c r="H93" s="8"/>
      <x:c r="I93" s="8"/>
      <x:c r="J93" s="8"/>
    </x:row>
    <x:row r="94">
      <x:c r="A94" s="3" t="str">
        <x:v>DURO MAKİNA KALIP SAN VE TİC LTD ŞTİ</x:v>
      </x:c>
      <x:c r="B94" s="3" t="str">
        <x:v>https://www.duromakina.com.tr</x:v>
      </x:c>
      <x:c r="C94" s="3" t="str">
        <x:v>‎+90 212 576 00 44</x:v>
      </x:c>
      <x:c r="D94" s="3" t="str">
        <x:v>https://www.maktekfuari.com/brand/duro-makina-kalip-san-ve-tic-ltd-sti</x:v>
      </x:c>
      <x:c r="E94" s="8" t="str">
        <x:v>İKİTELLİ OSB METAL İŞ SAN. SİT. 11. BLOK NO: 22</x:v>
      </x:c>
      <x:c r="F94" s="3" t="str">
        <x:v>1</x:v>
      </x:c>
      <x:c r="G94" s="3" t="str">
        <x:v>112</x:v>
      </x:c>
      <x:c r="H94" s="8"/>
      <x:c r="I94" s="8"/>
      <x:c r="J94" s="8" t="str">
        <x:v>Firmaların yapmak istediği ürünler için gerekli olan kalıplandırma hizmeti, en az maliyetle çözülmekte ve büküm uygulamaları içinde en hızlı ve en doğru desteği sağlanmaktadır. Şirket politikamız müşteri memnuniyeti odaklı olup, ürünlerimizin kalitesi ve hassasiyeti buna göre belirlenmiştir.</x:v>
      </x:c>
    </x:row>
    <x:row r="95">
      <x:c r="A95" s="3" t="str">
        <x:v>EA GLOBAL LAZER TEKNOLOJİ MAKİNE SAN. VE TİC. LTD. ŞTİ.</x:v>
      </x:c>
      <x:c r="B95" s="3" t="str">
        <x:v>https://www.eagloballazer.com</x:v>
      </x:c>
      <x:c r="C95" s="3" t="str">
        <x:v>‎+90 544 321 48 36</x:v>
      </x:c>
      <x:c r="D95" s="3" t="str">
        <x:v>https://www.maktekfuari.com/brand/ea-global-lazer-teknoloji-makine-san-ve-tic-ltd-sti</x:v>
      </x:c>
      <x:c r="E95" s="8" t="str">
        <x:v>FEVZİÇAKMAK MH. AYYILDIZ CD. NO 50 A KARATAY KONYA</x:v>
      </x:c>
      <x:c r="F95" s="3" t="str">
        <x:v>12A</x:v>
      </x:c>
      <x:c r="G95" s="3" t="str">
        <x:v>49B</x:v>
      </x:c>
      <x:c r="H95" s="8" t="str">
        <x:v>EA GLOBAL</x:v>
      </x:c>
      <x:c r="I95" s="8" t="str">
        <x:v>Shanghai BOCHU Trading Co., Ltd.; GVB GmbH - Solutions in Glass; HG WUHAN HUAGONG INTERNATIONAL DEVOLEPMENT CO. LTD.</x:v>
      </x:c>
      <x:c r="J95" s="8" t="str">
        <x:v>EA Global Lazer Teknoloji, fiber lazer kesim makineleri, lazer sarf malzemeleri, kesici kafa sistemleri, fiber lazer rezonatörleri ve endüstriyel soğutma sistemleri alanında faaliyet göstermektedir. Firmamız; satış, teknik servis, bakım, onarım, yedek parça tedariği ve teknik eğitim hizmetleri sunarak metal işleme sektörünün ihtiyaçlarına profesyonel çözümler üretmektedir. Raytools, WSX, Precitec, Raycus, Max Photonics, BOCHU ve diğer sektör lideri markalar için ürün ve teknik destek sağlamaktayız. Deneyimli ekibimiz ve geniş stok gücümüzle müşterilerimizin üretim sürekliliğini destekliyoruz.</x:v>
      </x:c>
    </x:row>
    <x:row r="96">
      <x:c r="A96" s="3" t="str">
        <x:v>EAE MAKİNA SAN. VE TİC. A.Ş.</x:v>
      </x:c>
      <x:c r="B96" s="3" t="str">
        <x:v>https://www.eaemachinery.com</x:v>
      </x:c>
      <x:c r="C96" s="3" t="str">
        <x:v>‎+90 262 999 05 80</x:v>
      </x:c>
      <x:c r="D96" s="3" t="str">
        <x:v>https://www.maktekfuari.com/brand/eae-makina-san-ve-tic-as</x:v>
      </x:c>
      <x:c r="E96" s="8" t="str">
        <x:v>Köseler mah. Kobi OSB. 7. Sokak No: 8/1 Dilovası KOCAELİ</x:v>
      </x:c>
      <x:c r="F96" s="3" t="str">
        <x:v>1</x:v>
      </x:c>
      <x:c r="G96" s="3" t="str">
        <x:v>104A</x:v>
      </x:c>
      <x:c r="H96" s="8" t="str">
        <x:v>eae machinery</x:v>
      </x:c>
      <x:c r="I96" s="8"/>
      <x:c r="J96" s="8" t="str">
        <x:v>EAE Makina, Rulo sac işleme makinaları alanında faaliyet gösteren EAE Şirketler Grubu üyesidir. Müşteri ihtiyaçlarına odaklı rekabet gücü ve politikası sayesinde, üretim konusunda önde gelen kuruluşlardan biridir. EAE Makina , Ar-Ge çalışmalarıyla birlikte, elektronik rulo sürücü, Rulo Açıcı, Rulo doğrultucu makinaları, sac işleme makinaları, sürekli esnek üretim hatları ve otomasyonu konusunda ihtiyacınız olan sistem çözümlerin de yetkin çözüm ortağı oldu. EAE Şirketler grubu’nun tecrübesine ve bilgi birikimine sahip makinler, teknik güvenirlik ve güvenlik, yüksek esneklik, ürün şekline göre hızlı takım değişimi esasına göre dizayn edilmektedir. Tüm makinalar esnek üretim hatlarına uygun olarak tasarlanmaktadır. ve bu makinaların esnek üretim sistemleri prensibine dayalı gelişmiş yazılım ve programlama kullanılarak firesiz ve hurdasız olarak üretim yapmasını sağlamaktadır.</x:v>
      </x:c>
    </x:row>
    <x:row r="97">
      <x:c r="A97" s="3" t="str">
        <x:v>EDM TEKNİK MAKİNE SAN. VE TİC. LTD. ŞTİ.</x:v>
      </x:c>
      <x:c r="B97" s="3" t="str">
        <x:v>https://www.edmteknik.com</x:v>
      </x:c>
      <x:c r="C97" s="3" t="str">
        <x:v>‎+90 216 540 13 36</x:v>
      </x:c>
      <x:c r="D97" s="3" t="str">
        <x:v>https://www.maktekfuari.com/brand/edm-teknik-makine-san-ve-tic-ltd-sti</x:v>
      </x:c>
      <x:c r="E97" s="8" t="str">
        <x:v>İmes sanayi sitesi A blok 107 sk. No:3 OSB mahallesi Ümraniye İstanbul</x:v>
      </x:c>
      <x:c r="F97" s="3" t="str">
        <x:v>5</x:v>
      </x:c>
      <x:c r="G97" s="3" t="str">
        <x:v>512</x:v>
      </x:c>
      <x:c r="H97" s="8"/>
      <x:c r="I97" s="8" t="str">
        <x:v>AccuteX Technologies Co.,Ltd</x:v>
      </x:c>
      <x:c r="J97" s="8"/>
    </x:row>
    <x:row r="98">
      <x:c r="A98" s="3" t="str">
        <x:v>EFEMET KESİCİ TAKIMLAR SAN.TİC.LTD.ŞTİ.</x:v>
      </x:c>
      <x:c r="B98" s="3" t="str">
        <x:v>https://efemet.com.tr/</x:v>
      </x:c>
      <x:c r="C98" s="3" t="str">
        <x:v>‎+90 224 443 60 45</x:v>
      </x:c>
      <x:c r="D98" s="3" t="str">
        <x:v>https://www.maktekfuari.com/brand/efemet-kesici-takimlar-santicltdsti</x:v>
      </x:c>
      <x:c r="E98" s="8" t="str">
        <x:v>Alaaddinbey Mah. Ayfatma Cad. Sam3 Plaza No: 11B/D</x:v>
      </x:c>
      <x:c r="F98" s="3" t="str">
        <x:v>11</x:v>
      </x:c>
      <x:c r="G98" s="3" t="str">
        <x:v>1174A</x:v>
      </x:c>
      <x:c r="H98" s="8"/>
      <x:c r="I98" s="8" t="str">
        <x:v>Inovatools Eckerle &amp; Ertel GmbH; FABRYKA NARZEDZI FANAR S.A.; Paul Dümmel Werkzeugfabrik GmbH; Tocho Marking Systems, Inc; Blue Photon Technology &amp; Workholding Systems LLC</x:v>
      </x:c>
      <x:c r="J98" s="8" t="str">
        <x:v>Efemet 2008 yılında Makine Yüksek Mühendisi Özgür İrfan tarafından kurulmuştur. Kesici takımlar, takım tutucular ve parça bağlama sistemleri alanlarında faaliyet göstermektedir. Bölgesel distribütör olarak çalışmaya başlayan firma, yaptığı yatırımlar ile sürekli gelişmeyi prensip edinmiş, kısa sürede büyük bir atılımla, sektörün lider markalarını tüketici ile buluşturmuş, sağladığı kalite, güven ve teknik destek yanında bilgi birikimini mühendislik ile birleştirerek özel takım tasarımı ve üretimine de başlamıştır. Bugün efemet deneyimli teknik kadrosu ile tüm Türkiye’de Otomotiv, Makine, Demiryolu ve Havacılık sektörlerindeki müşterilerine anahtar teslimi çözümler sunmaktadır.</x:v>
      </x:c>
    </x:row>
    <x:row r="99">
      <x:c r="A99" s="3" t="str">
        <x:v>EGE TEKNİK CNC MAK. İTH. İHR. TİC. SAN. LTD. ŞTİ.</x:v>
      </x:c>
      <x:c r="B99" s="3" t="str">
        <x:v>https://egeteknikcnc.com.tr</x:v>
      </x:c>
      <x:c r="C99" s="3" t="str">
        <x:v>‎+90 535 385 13 80</x:v>
      </x:c>
      <x:c r="D99" s="3" t="str">
        <x:v>https://www.maktekfuari.com/brand/ege-teknik-cnc-mak-ith-ihr-tic-san-ltd-sti</x:v>
      </x:c>
      <x:c r="E99" s="8" t="str">
        <x:v>Evka 3, 129/3. Sk. No:4b D:4c, 35050 Bornova/İzmir Bursa Şube: Üçevler, Dilan Sk. :5/A, 16120 Ni·lüfer/Bursa</x:v>
      </x:c>
      <x:c r="F99" s="3" t="str">
        <x:v>12</x:v>
      </x:c>
      <x:c r="G99" s="3" t="str">
        <x:v>1225</x:v>
      </x:c>
      <x:c r="H99" s="8" t="str">
        <x:v>PROSEIKI</x:v>
      </x:c>
      <x:c r="I99" s="8"/>
      <x:c r="J99" s="8"/>
    </x:row>
    <x:row r="100">
      <x:c r="A100" s="3" t="str">
        <x:v>EKSEN TAKIM TEZGAHLARI VE MAK. SAN. TİC. LTD. ŞTİ.</x:v>
      </x:c>
      <x:c r="B100" s="3" t="str">
        <x:v>https://eksenmakinecnc.com/</x:v>
      </x:c>
      <x:c r="C100" s="3" t="str">
        <x:v>‎+90 530 354 54 08</x:v>
      </x:c>
      <x:c r="D100" s="3" t="str">
        <x:v>https://www.maktekfuari.com/brand/eksen-takim-tezgahlari-ve-mak-san-tic-ltd-sti</x:v>
      </x:c>
      <x:c r="E100" s="8" t="str">
        <x:v>İVEDİK OSB MAH. 1372. SOK. NO: 31</x:v>
      </x:c>
      <x:c r="F100" s="3" t="str">
        <x:v>11A</x:v>
      </x:c>
      <x:c r="G100" s="3" t="str">
        <x:v>38</x:v>
      </x:c>
      <x:c r="H100" s="8"/>
      <x:c r="I100" s="8"/>
      <x:c r="J100" s="8"/>
    </x:row>
    <x:row r="101">
      <x:c r="A101" s="3" t="str">
        <x:v>ELAR ELEKTRONİK MAKİNA VE KAUÇUK SAN. TİC. LTD. STI.</x:v>
      </x:c>
      <x:c r="B101" s="3" t="str">
        <x:v>https://www.elarmak.com</x:v>
      </x:c>
      <x:c r="C101" s="3" t="str">
        <x:v>‎+90 212 501 55 60</x:v>
      </x:c>
      <x:c r="D101" s="3" t="str">
        <x:v>https://www.maktekfuari.com/brand/elar-elektronik-makina-ve-kaucuk-san-tic-ltd-sti</x:v>
      </x:c>
      <x:c r="E101" s="8" t="str">
        <x:v>YENİDOĞAN MAH. ABDİ İPEKÇİ CAD. 1.EMİNTAŞ SAN.SİT. NO:74/1 Z07</x:v>
      </x:c>
      <x:c r="F101" s="3" t="str">
        <x:v>5 / 9</x:v>
      </x:c>
      <x:c r="G101" s="3" t="str">
        <x:v>500 / 905</x:v>
      </x:c>
      <x:c r="H101" s="8" t="str">
        <x:v>ELAR EXCELLENT</x:v>
      </x:c>
      <x:c r="I101" s="8"/>
      <x:c r="J101" s="8" t="str">
        <x:v>Elar makina 1985 yılında dalma erezyon makinaları üretimi ile faaliyetlerine başlamıştır. Son yıllarda gelişen sektör ile birlikte, ürünlerimize uzakdoğu menşeili dalma erezyon, cnc tel erezyon, hızlı delik delme, freze, taşlama ve cnc dik işlem de eklenmiştir. Son 15 yıldır da bunlara ilave olarak Excellent firmasının, Türkiye ve çevre ülkelerdeki tek yetkili satış ve servisiyiz. Dalma erezyon konusu asil faaliyet konumuzdur. Markamızın yanı sıra ajan ve diğer yabancı marka makine servis, revizyonlarınıda yapmaktayız. Yıllardır üretimden gelen bilgi ve tecrübelerimizi kullanarak ülkemize ve sanayicilerimize hizmete devam edeceğiz. Elar makine olarak firmamızda müşteri memnuniyetini ön plana alarak verdiğimiz hizmetler doğrultusunda sizlerin sevgisini ve saygınlığınızı kazandık ve hizmetlerimizi ve kalitemizi her geçen gün daha fazla artırarak sizleri memnun etmek için elimizden geleni yapıp sizleri firmamızdan güler yüzle ve memnuniyet duygusuyla göndermekten onur duyarız…</x:v>
      </x:c>
    </x:row>
    <x:row r="102">
      <x:c r="A102" s="3" t="str">
        <x:v>ELMAKSAN CNC MAKINA TAKIM TEZGAHLARI SANAYI VE TICARET LIMITED SIRKETI</x:v>
      </x:c>
      <x:c r="B102" s="3" t="str">
        <x:v>https://www.cncticaret.com/</x:v>
      </x:c>
      <x:c r="C102" s="3" t="str">
        <x:v>‎+90 532 735 92 85</x:v>
      </x:c>
      <x:c r="D102" s="3" t="str">
        <x:v>https://www.maktekfuari.com/brand/elmaksan-cnc-makina-takim-tezgahlari-sanayi-ve-ticaret-limited-sirketi</x:v>
      </x:c>
      <x:c r="E102" s="8" t="str">
        <x:v>Yenidoğan Mah. Abdi İpekçi Cad. Yeniçeri Sok. No:6</x:v>
      </x:c>
      <x:c r="F102" s="3" t="str">
        <x:v>12</x:v>
      </x:c>
      <x:c r="G102" s="3" t="str">
        <x:v>1232</x:v>
      </x:c>
      <x:c r="H102" s="8"/>
      <x:c r="I102" s="8"/>
      <x:c r="J102" s="8"/>
    </x:row>
    <x:row r="103">
      <x:c r="A103" s="3" t="str">
        <x:v>ELMALI MAKİNA SANAYİ VE TİCARET LTD. ŞTİ.</x:v>
      </x:c>
      <x:c r="B103" s="3" t="str">
        <x:v>https://www.elmali.com.tr/</x:v>
      </x:c>
      <x:c r="C103" s="3" t="str">
        <x:v>‎+90 332 239 19 80</x:v>
      </x:c>
      <x:c r="D103" s="3" t="str">
        <x:v>https://www.maktekfuari.com/brand/elmali-makina-sanayi-ve-ticaret-ltd-sti</x:v>
      </x:c>
      <x:c r="E103" s="8" t="str">
        <x:v>BÜYÜKKAYACIK OSM MAH. KUDDUSİ CAD. NO: 46/1</x:v>
      </x:c>
      <x:c r="F103" s="3" t="str">
        <x:v>2</x:v>
      </x:c>
      <x:c r="G103" s="3" t="str">
        <x:v>202</x:v>
      </x:c>
      <x:c r="H103" s="8"/>
      <x:c r="I103" s="8"/>
      <x:c r="J103" s="8" t="str">
        <x:v>ELMALI MAKİNA, müşterilerinin memnuniyetini, çalışanlarının mutluluğunu hedefleyen, ürünlerde tasarlayan, geliştiren, iyileştiren ve mükemmelliği hedefleyen, sektöründe lider bir firmadır. Kalite, Güven ve GÜVENİLİRLİK eksenlerinde, müşteri odaklı kalite yönetimi ile sektöründe lider olmayı hedeflemektedir. ELMALI MAKİNA 30 yılı aşkın tecrübesi ile Konya’da sac işleme makinaları (pres) üretmek amacıyla kurulmuştur. Firmamızda imal edilmekte olan; EKSANTRİK PRESLER (CH Tipi), HİDROLİK SIVA PRESLERİ (CH Tipi), SERVO SAÇ DELME (Delikli) PRESLERİ, HİDROLİK ABKANT PRESLERİ, HİDROLİK GİYOTİN MAKASLARI ve ÖZEL TASARIM MAKİNELERİ ile tüm tasarım, imalat ve montaj işlemleri tamamen fabrikamız bünyesinde yapılmaktadır. Üretime başladığı ilk günden itibaren üstün kalite, son teknoloji, uygun tasarım ve kaliteli teknik insan gücü ile çalışmayı amaç edinen ELMALI MAKİNA, sürekli kendini yenileyerek yerli ve yabancı yatırımcı sanayicilere hizmetlerine devam etmektedir.</x:v>
      </x:c>
    </x:row>
    <x:row r="104">
      <x:c r="A104" s="3" t="str">
        <x:v>ELMAS MAKİNE KESİCİ TAK SAN TİC LTD ŞTİ.</x:v>
      </x:c>
      <x:c r="B104" s="3" t="str">
        <x:v>https://www.elmaskeles.com/</x:v>
      </x:c>
      <x:c r="C104" s="3" t="str">
        <x:v>‎+90 212 544 45 46</x:v>
      </x:c>
      <x:c r="D104" s="3" t="str">
        <x:v>https://www.maktekfuari.com/brand/elmas-makine-kesici-tak-san-tic-ltd-sti</x:v>
      </x:c>
      <x:c r="E104" s="8" t="str">
        <x:v>Rami Kışla Cad. No: 80/B Topçular</x:v>
      </x:c>
      <x:c r="F104" s="3" t="str">
        <x:v>11</x:v>
      </x:c>
      <x:c r="G104" s="3" t="str">
        <x:v>1180</x:v>
      </x:c>
      <x:c r="H104" s="8" t="str">
        <x:v>Cardiff</x:v>
      </x:c>
      <x:c r="I104" s="8" t="str">
        <x:v>Hyperion Materials &amp; Technology; Sinter Sud; AFC Hartmetall; CUOGHI; Schaublin SA; Chia Lern CO. LTD; Weyu Machinery Co., Ltd; Saint Gobain Abrasives GmbH</x:v>
      </x:c>
      <x:c r="J104" s="8" t="str">
        <x:v>Elmas Keleş 1989 yılında şahıs şirketi olarak kurulmuş olup, 1993 yılıdan beri limited şirketi olarak hizmete devam etmektedir.. O günden bugüne her geçen yıl tecrübemizi, teknolojimizi arttırmayı kendimize ilke edinip, hep daha iyiyi, hep daha kısa zamanda ve daha ucuz maliyetlerle müşterilerimize sunmayı hedefledik. Elmas Keleş, sektöründe şu anda söz sahibi bir firmadır. Önümüzdeki yıllarda da teknolojik olarak büyümeyi hedefleyen firmamız, sektöründe daha da fazla söz sahibi olup, çok daha kaliteli hizmetleri, değerli müşterilerimize sunacaktır.</x:v>
      </x:c>
    </x:row>
    <x:row r="105">
      <x:c r="A105" s="3" t="str">
        <x:v>EMAG SALACH GMBH MERKEZİ ALMANYA İST. MERK.ŞUBESİ</x:v>
      </x:c>
      <x:c r="B105" s="3" t="str">
        <x:v>https://www.emag.com</x:v>
      </x:c>
      <x:c r="C105" s="3" t="str">
        <x:v>‎+90 532 767 15 50</x:v>
      </x:c>
      <x:c r="D105" s="3" t="str">
        <x:v>https://www.maktekfuari.com/brand/emag-salach-gmbh-merkezi-almanya-ist-merksubesi</x:v>
      </x:c>
      <x:c r="E105" s="8" t="str">
        <x:v>Sanayi Cad. No.:44, Nish İstanbul Sitesi D:155 34196 Yenibosna – Istanbul</x:v>
      </x:c>
      <x:c r="F105" s="3" t="str">
        <x:v>5</x:v>
      </x:c>
      <x:c r="G105" s="3" t="str">
        <x:v>507</x:v>
      </x:c>
      <x:c r="H105" s="8"/>
      <x:c r="I105" s="8"/>
      <x:c r="J105" s="8" t="str">
        <x:v>EMAG olarak küresel teknoloji lideri olup kompleks parçaların üretimi için anahtar teslimi çözümler sunmaktayız. Müşterilerimizin üretkenliğini arttırmak; akıllı ve modern çözümler ile çok daha verimli akıllı makineler üretiyoruz.</x:v>
      </x:c>
    </x:row>
    <x:row r="106">
      <x:c r="A106" s="3" t="str">
        <x:v>Enar Makina &amp; Metal San ve Tic.Ltd.Şti Temsilci Firma</x:v>
      </x:c>
      <x:c r="B106" s="3" t="str">
        <x:v>https://www.enarmakina.com</x:v>
      </x:c>
      <x:c r="C106" s="3" t="str">
        <x:v>+212212 475 32 72</x:v>
      </x:c>
      <x:c r="D106" s="3" t="str">
        <x:v>https://www.maktekfuari.com/brand/enar-makina-metal-san-ve-ticltdsti</x:v>
      </x:c>
      <x:c r="E106" s="8" t="str">
        <x:v>Esentepe Mah .Kucuk San.Sitesi. 20.Blok. No:25A 34265 Sultangazi – İstanbul / Turkiye</x:v>
      </x:c>
      <x:c r="F106" s="3" t="str">
        <x:v>6</x:v>
      </x:c>
      <x:c r="G106" s="3" t="str">
        <x:v>632</x:v>
      </x:c>
      <x:c r="H106" s="8"/>
      <x:c r="I106" s="8"/>
      <x:c r="J106" s="8"/>
    </x:row>
    <x:row r="107">
      <x:c r="A107" s="3" t="str">
        <x:v>ENİGMA HIZLI BAĞLANTI SİS. SAN. TİC. LTD. ŞTİ.</x:v>
      </x:c>
      <x:c r="B107" s="3" t="str">
        <x:v>https://www.enigmaclamp.com.tr/</x:v>
      </x:c>
      <x:c r="C107" s="3" t="str">
        <x:v>‎+90 542 101 26 01</x:v>
      </x:c>
      <x:c r="D107" s="3" t="str">
        <x:v>https://www.maktekfuari.com/brand/enigma-hizli-baglanti-sis-san-tic-ltd-sti</x:v>
      </x:c>
      <x:c r="E107" s="8" t="str">
        <x:v>IŞIKTEPE OSB MAH 75.YIL BULVARI NO:5 F/2 16140 NİLÜFER/BURSA</x:v>
      </x:c>
      <x:c r="F107" s="3" t="str">
        <x:v>11</x:v>
      </x:c>
      <x:c r="G107" s="3" t="str">
        <x:v>1142</x:v>
      </x:c>
      <x:c r="H107" s="8" t="str">
        <x:v>ENİGMA CLAMP</x:v>
      </x:c>
      <x:c r="I107" s="8" t="str">
        <x:v>ENİGMA HIZLI BAĞLANTI SİSTEMLERİ SAN TİC LTD ŞTİ</x:v>
      </x:c>
      <x:c r="J107" s="8" t="str">
        <x:v>ENİGMA CLAMP Enigma clamp ekibi olarak; 2015 yılında başladığımız üretim serüvenine, değişen ve gelişen teknolojimizle kaliteli ürün ve hizmetler sunarak devam etmekteyiz. Klemp alanında standart üretimin yanında müşteri odaklı, inovatif ürünler geliştirme vizyonumuzla kendi başarı hikayemizi yazmaktayız. Uluslararası pazarda ilkeleriyle rekabet eden yerli üretici olmak en büyük hedefimizdir. Enigma Hızlı Bağlantı Sistemleri; çalışanlarıyla birlikte evrensel kalite ve standartlarda ürün ve hizmetler sunmak gayesiyle başladığı bu yolculukta adım adım ilerlerken girişimci ruha rahip bu başarı hikayesinin mimarları yeni fikirleri, yetenek, cesaret ve bilgi bileşenleri ile harmanlayarak “Enigma Hızlı Bağlantı Sistemleri” nin farkını ortaya koyuyor.</x:v>
      </x:c>
    </x:row>
    <x:row r="108">
      <x:c r="A108" s="3" t="str">
        <x:v>ENİGMA HIZLI BAĞLANTI SİSTEMLERİ SAN TİC LTD ŞTİ Temsilci Firma</x:v>
      </x:c>
      <x:c r="B108" s="3" t="str">
        <x:v>https://www.enigmaclamp.com.tr</x:v>
      </x:c>
      <x:c r="C108" s="3" t="str">
        <x:v>‎+90 542 101 26 02</x:v>
      </x:c>
      <x:c r="D108" s="3" t="str">
        <x:v>https://www.maktekfuari.com/brand/enigma-hizli-baglanti-sistemleri-san-tic-ltd-sti</x:v>
      </x:c>
      <x:c r="E108" s="8" t="str">
        <x:v>IŞIKTEPE OSB MAH 75. YIL BULVARI NO:5 F/2 NİLÜFER/BURSA</x:v>
      </x:c>
      <x:c r="F108" s="3" t="str">
        <x:v>11</x:v>
      </x:c>
      <x:c r="G108" s="3" t="str">
        <x:v>1142</x:v>
      </x:c>
      <x:c r="H108" s="8"/>
      <x:c r="I108" s="8"/>
      <x:c r="J108" s="8"/>
    </x:row>
    <x:row r="109">
      <x:c r="A109" s="3" t="str">
        <x:v>ENKAR İNŞ. TAAH. VE TİC. LTD. ŞTİ.</x:v>
      </x:c>
      <x:c r="B109" s="3" t="str">
        <x:v>http://www.enkar.com.tr/</x:v>
      </x:c>
      <x:c r="C109" s="3" t="str">
        <x:v>‎+90 312 354 05 01</x:v>
      </x:c>
      <x:c r="D109" s="3" t="str">
        <x:v>https://www.maktekfuari.com/brand/enkar-ins-taah-ve-tic-ltd-sti</x:v>
      </x:c>
      <x:c r="E109" s="8" t="str">
        <x:v>Ostim OSB Mah. 1201 Cad. No: 7</x:v>
      </x:c>
      <x:c r="F109" s="3" t="str">
        <x:v>6</x:v>
      </x:c>
      <x:c r="G109" s="3" t="str">
        <x:v>610</x:v>
      </x:c>
      <x:c r="H109" s="8"/>
      <x:c r="I109" s="8" t="str">
        <x:v>ETL FLUID EXPERTS LTD (CARDEV); DORMATEC BV</x:v>
      </x:c>
      <x:c r="J109" s="8" t="str">
        <x:v>1990 yılında kurulan Enkar İnş.Taah ve Tic.Ltd.Şti. uzmanlık alanı 1995 yılından beri Endüstriyel Yağ Filtrasyon sistemleridir. -Hidrolik, dişli, türbin yağ filtrasyonu -Emülsiyon Yağı (boryağ) hazırlama ve filtre sistemleri -Yağ Buharı Toplama sistemleri</x:v>
      </x:c>
    </x:row>
    <x:row r="110">
      <x:c r="A110" s="3" t="str">
        <x:v>ENOX MAKİNA SAN .TİC.AŞ.</x:v>
      </x:c>
      <x:c r="B110" s="3" t="str">
        <x:v>https://www.enoxmakina.com</x:v>
      </x:c>
      <x:c r="C110" s="3" t="str">
        <x:v>‎+90 532 605 01 08</x:v>
      </x:c>
      <x:c r="D110" s="3" t="str">
        <x:v>https://www.maktekfuari.com/brand/enox-makina-san-ticas</x:v>
      </x:c>
      <x:c r="E110" s="8" t="str">
        <x:v>Şerifali Mh.Emin Sokak Enox Plaza No:12 Ümraniye İstanbul</x:v>
      </x:c>
      <x:c r="F110" s="3" t="str">
        <x:v>12</x:v>
      </x:c>
      <x:c r="G110" s="3" t="str">
        <x:v>1237</x:v>
      </x:c>
      <x:c r="H110" s="8" t="str">
        <x:v>VOLLZER AND KLEMENS</x:v>
      </x:c>
      <x:c r="I110" s="8"/>
      <x:c r="J110" s="8" t="str">
        <x:v>2021 yılında İstanbul’da kurulan ENOX MAKİNA A.Ş; VOLLZER Markası olarak Dik işleme merkezi, Köprü tipi işleme merkezi ve torna makinaları çeşitliliğini barındıran takım tezgâhlarının Türkiye distribütörlüğünü yapmaktadır. Şirketlerin üretim verimliliğini en üst seviyeye çıkarmak Enox Makina A.Ş firmasının 16 yıldır en iyi bildiği branşlardan sadece bir tanesidir. Çünkü ENOX MAKİNA A.Ş, 16 yıllık bilgi ve birikimi bulunan ekibi ile 7.000 müşteri sayısına ulaşmış NC RİTİM TEKNOLOJİ kuruluşudur.</x:v>
      </x:c>
    </x:row>
    <x:row r="111">
      <x:c r="A111" s="3" t="str">
        <x:v>EPSİLON CNC MAKİNA SAN. VE TİC. A.Ş.</x:v>
      </x:c>
      <x:c r="B111" s="3" t="str">
        <x:v>https://www.epsiloncnc.com</x:v>
      </x:c>
      <x:c r="C111" s="3" t="str">
        <x:v>‎+90 216 415 44 55</x:v>
      </x:c>
      <x:c r="D111" s="3" t="str">
        <x:v>https://www.maktekfuari.com/brand/epsilon-cnc-makina-san-ve-tic-as</x:v>
      </x:c>
      <x:c r="E111" s="8" t="str">
        <x:v>Y.DUDULLU MAH. NECİP FAZIL BLV. KEYAP F2 BLOK NO:44/105</x:v>
      </x:c>
      <x:c r="F111" s="3" t="str">
        <x:v>12</x:v>
      </x:c>
      <x:c r="G111" s="3" t="str">
        <x:v>1229</x:v>
      </x:c>
      <x:c r="H111" s="8"/>
      <x:c r="I111" s="8" t="str">
        <x:v>L.KELLENBERGER &amp; Co. AG</x:v>
      </x:c>
      <x:c r="J111" s="8"/>
    </x:row>
    <x:row r="112">
      <x:c r="A112" s="3" t="str">
        <x:v>ER-EL MAKİNA YEDEK PARÇA İML SAN TİC LTD ŞTİ</x:v>
      </x:c>
      <x:c r="B112" s="3" t="str">
        <x:v>https://www.er-el.com.tr</x:v>
      </x:c>
      <x:c r="C112" s="3" t="str">
        <x:v>‎+90 262 502 11 60</x:v>
      </x:c>
      <x:c r="D112" s="3" t="str">
        <x:v>https://www.maktekfuari.com/brand/er-el-makina-yedek-parca-iml-san-tic-ltd-sti</x:v>
      </x:c>
      <x:c r="E112" s="8" t="str">
        <x:v>Çerkeşli Osb Mahallesi İMES 3. Bulvarı No:14 ER-EL Makina Kocaeli/Dilovası</x:v>
      </x:c>
      <x:c r="F112" s="3" t="str">
        <x:v>11</x:v>
      </x:c>
      <x:c r="G112" s="3" t="str">
        <x:v>1150</x:v>
      </x:c>
      <x:c r="H112" s="8" t="str">
        <x:v>MİKSAN</x:v>
      </x:c>
      <x:c r="I112" s="8" t="str">
        <x:v>Zero Clamp GmbH; HVR MAGNETİCS; IMAO CLAMP</x:v>
      </x:c>
      <x:c r="J112" s="8" t="str">
        <x:v>ER-EL Makina Yedek Parça İmalatı San. ve Tic. Ltd. Şti., 1989’dan bu yana kalıp bağlama ve işleme ekipmanlarında güven ve kalitenin simgesi olarak üretim yapmaktadır. Sürekli artan kapasitesi ve istihdamı ile bugün başta Avrupa ülkeleri olmak üzere yaklaşık 45 ülkeye ihracat gerçekleştirmektedir. Müşteri ihtiyaçlarına özel çözümler sunan AR-GE birimimiz, ürün çeşitliliğini artırmaya yönelik çalışmalarını sürdürmektedir. Firmamız; ISO 9001, ISO 14001, OHSAS 18001 ve CE sertifikalarına sahip olup, kaliteli ve güvenli üretimi ilke edinmiştir. Kalıp ve iş parçası bağlama ekipmanlarında 4500’i aşkın stok ürünüyle lider üretici konumundayız. Standart ürünlerin yanı sıra; havacılık, otomotiv, beyaz eşya, ağır makine ve savunma sanayi için proje bazlı mekanik, pnömatik ve hidrolik fikstürler üretmekteyiz. Uzman kadromuzla müşteri memnuniyetini ön planda tutarak faaliyetlerimizi sürdürmekteyiz. MIKSAN Bağlama Sistemleri markası da ER-EL bünyesinde hizmet vermeye devam etmektedir.</x:v>
      </x:c>
    </x:row>
    <x:row r="113">
      <x:c r="A113" s="3" t="str">
        <x:v>ER-HA MÜHENDİSLİK MAK.SAN. İML. VE TİC.LTD. ŞTİ.</x:v>
      </x:c>
      <x:c r="B113" s="3" t="str">
        <x:v>https://pmmanipulators.com/</x:v>
      </x:c>
      <x:c r="C113" s="3" t="str">
        <x:v>‎+90 216 466 31 35</x:v>
      </x:c>
      <x:c r="D113" s="3" t="str">
        <x:v>https://www.maktekfuari.com/brand/er-ha-muhendislik-maksan-iml-ve-ticltd-sti</x:v>
      </x:c>
      <x:c r="E113" s="8" t="str">
        <x:v>Eyüp Sultan Mah. İmam Rabbani Cad. Bayraktar Sok. No. 4/2, 34885 Sancaktepe/İstanbul</x:v>
      </x:c>
      <x:c r="F113" s="3" t="str">
        <x:v>6</x:v>
      </x:c>
      <x:c r="G113" s="3" t="str">
        <x:v>615</x:v>
      </x:c>
      <x:c r="H113" s="8" t="str">
        <x:v>PM MANIPULATORS</x:v>
      </x:c>
      <x:c r="I113" s="8"/>
      <x:c r="J113" s="8" t="str">
        <x:v>CE Belgeli ve EN Uyumlu Yerli Üretim – PM Endüstriyel Manipülatörleri ile Güçlü, Ergonomik ve Güvenli Çözümler 1988 yılında kurulan Erha Mühendislik, 36 yılı aşkın tecrübesi ve 3000+ referansı ile Türkiye’nin öncü markasıdır. CE ve EN 14238 belgeli PM Manipülatörleri, yerli üretim olup operatör güvenliği ve verimlilik için tasarlanmıştır. 60 kg’dan 1850 kg’a kadar 11 model Pnömatik denge teknolojisi ile minimum kuvvet ISO 3834-2 / EN 1090 uyumlu robotik kaynak ERP tabanlı, ISO 9001:2015 kalite yönetimi DEA CMM ile hassas kalite kontrol Türkiye çapında hızlı servis ve yedek parça YouTube’da 450+ gerçek uygulama videosu PM ile iş kazalarını azaltın, yorgunluğu düşürün, verimi artırın!</x:v>
      </x:c>
    </x:row>
    <x:row r="114">
      <x:c r="A114" s="3" t="str">
        <x:v>ERBEND MAKİNA SANAYİ VE TİCARET A. Ş.</x:v>
      </x:c>
      <x:c r="B114" s="3" t="str">
        <x:v>https://www.erbend.com</x:v>
      </x:c>
      <x:c r="C114" s="3" t="str">
        <x:v>‎+90 224 441 73 50</x:v>
      </x:c>
      <x:c r="D114" s="3" t="str">
        <x:v>https://www.maktekfuari.com/brand/erbend-makina-sanayi-ve-ticaret-a-s</x:v>
      </x:c>
      <x:c r="E114" s="8" t="str">
        <x:v>Kayapa Osb Mavi Cad. No:39, 16280</x:v>
      </x:c>
      <x:c r="F114" s="3" t="str">
        <x:v>3</x:v>
      </x:c>
      <x:c r="G114" s="3" t="str">
        <x:v>315A</x:v>
      </x:c>
      <x:c r="H114" s="8"/>
      <x:c r="I114" s="8"/>
      <x:c r="J114" s="8" t="str">
        <x:v>Metal sac katlama yöntemiyle büküm yapan makinelerin, büküm merkzlerinin üretimi ve bu sistemlerin otomasyonu konusunda Türkiye'nin öncü firması.</x:v>
      </x:c>
    </x:row>
    <x:row r="115">
      <x:c r="A115" s="3" t="str">
        <x:v>ERBİLEKLER METAL İŞLEME ÜRÜNLERİ SAN. VE TİC. LTD. ŞTİ.</x:v>
      </x:c>
      <x:c r="B115" s="3" t="str">
        <x:v>https://erbilekler.com/</x:v>
      </x:c>
      <x:c r="C115" s="3" t="str">
        <x:v>‎+90 216 314 34 68</x:v>
      </x:c>
      <x:c r="D115" s="3" t="str">
        <x:v>https://www.maktekfuari.com/brand/erbilekler-metal-isleme-urunleri-san-ve-tic-ltd-sti</x:v>
      </x:c>
      <x:c r="E115" s="8" t="str">
        <x:v>İMES Sanayi Sitesi A109/1 Y.Dudullu</x:v>
      </x:c>
      <x:c r="F115" s="3" t="str">
        <x:v>11</x:v>
      </x:c>
      <x:c r="G115" s="3" t="str">
        <x:v>1101A</x:v>
      </x:c>
      <x:c r="H115" s="8" t="str">
        <x:v>Euroloy Carbide Tools</x:v>
      </x:c>
      <x:c r="I115" s="8" t="str">
        <x:v>Euroloy Carbide Tools</x:v>
      </x:c>
      <x:c r="J115" s="8" t="str">
        <x:v>ERBİLEKLER Metal İşleme Ürünleri San. ve Tic. A.Ş., 15 Aralık 2003 tarihinde kurulmuştur. İMES Sanayi Sitesi’ndeki merkez ofisi, satış mağazası ve Türkiye genelindeki yetkili satış ağıyla metal işleme sektörüne kesici takımlar, taşlama çözümleri ve yardımcı ekipmanlar sunmaktadır. Geniş ürün portföyümüzle tornalama, frezeleme, delik delme, diş açma ve taşlama uygulamalarına yönelik kaliteli ve verimli çözümler sağlayarak müşterilerimizin üretim performansını artırıyoruz. Uzun vadeli ve sürdürülebilir iş birlikleri kurmayı esas alıyor; müşteri ihtiyaçlarını doğru analiz ederek en uygun ürünleri, teknik danışmanlığı ve uygulama desteğini sunuyoruz. Deneyimli satış ekibimiz ve bölgesel iş ortaklarımız aracılığıyla satış öncesi ve sonrası teknik destek sağlayarak güvenilir bir çözüm ortağı olmayı hedefliyoruz.</x:v>
      </x:c>
    </x:row>
    <x:row r="116">
      <x:c r="A116" s="3" t="str">
        <x:v>ERDAL ÖZKAN MAKİNA MÜH. GIDA İNŞ. İM. İHR. İTH. A.Ş.</x:v>
      </x:c>
      <x:c r="B116" s="3" t="str">
        <x:v>https://www.erdcrane.com</x:v>
      </x:c>
      <x:c r="C116" s="3" t="str">
        <x:v>‎+90 364 234 46 80</x:v>
      </x:c>
      <x:c r="D116" s="3" t="str">
        <x:v>https://www.maktekfuari.com/brand/erdal-ozkan-makina-muh-gida-ins-im-ihr-ith-as</x:v>
      </x:c>
      <x:c r="E116" s="8" t="str">
        <x:v>Organize Sanayi Bölgesi 4. Cadde No:15 Merkez / Çorum</x:v>
      </x:c>
      <x:c r="F116" s="3" t="str">
        <x:v>12A</x:v>
      </x:c>
      <x:c r="G116" s="3" t="str">
        <x:v>31</x:v>
      </x:c>
      <x:c r="H116" s="8" t="str">
        <x:v>ERDCRANE</x:v>
      </x:c>
      <x:c r="I116" s="8"/>
      <x:c r="J116" s="8" t="str">
        <x:v>ERDCRANE, endüstriyel kaldırma ve taşıma sistemleri alanında mühendislik temelli çözümler sunan bir vinç üreticisidir. Çift kirişli gezer vinçler, monoray vinçler ve projeye özel kaldırma sistemlerinde; güvenlik, dayanıklılık ve verimlilik odaklı bir yaklaşım benimser. Tasarım, imalat, montaj ve devreye alma süreçlerinin tamamı kendi mühendislik ve üretim altyapımızla yürütülür. Her proje, saha koşulları ve müşteri ihtiyaçları doğrultusunda özel olarak planlanır ve uygulanır. ERDCRANE, kaliteli üretim anlayışı, zamanında teslim ve güçlü satış sonrası desteği ile sanayinin güvenilir çözüm ortağı olmayı hedefler.</x:v>
      </x:c>
    </x:row>
    <x:row r="117">
      <x:c r="A117" s="3" t="str">
        <x:v>ERDE DIŞ TİCARET LTD ŞTİ</x:v>
      </x:c>
      <x:c r="B117" s="3" t="str">
        <x:v>https://www.erdeticaret.com.tr</x:v>
      </x:c>
      <x:c r="C117" s="3" t="str">
        <x:v>‎+90 216 330 24 00</x:v>
      </x:c>
      <x:c r="D117" s="3" t="str">
        <x:v>https://www.maktekfuari.com/brand/erde-dis-ticaret-ltd-sti</x:v>
      </x:c>
      <x:c r="E117" s="8" t="str">
        <x:v>Eğitim Mah. Ünal Sok. Ensar İş Mrk. No: 5 D: 8 34722 Hasanpaşa Kadıköy</x:v>
      </x:c>
      <x:c r="F117" s="3" t="str">
        <x:v>11</x:v>
      </x:c>
      <x:c r="G117" s="3" t="str">
        <x:v>1129</x:v>
      </x:c>
      <x:c r="H117" s="8"/>
      <x:c r="I117" s="8"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c r="J117" s="8" t="str">
        <x:v>ERDE Dış Ticaret Kuruluş : 1997 Faaliyet alanı : • Taşlama (5 eksenli, satıh, silindirik, dik, çift tablalı, lepleme vb) • Otomasyon (Robotik büyük çaplı otomasyon çözümleri) • Kaplama (PVD) • Isıl İşlem (endüksiyon sertleştirme ve vakum fırını) • Filtrasyon (emülsiyon ve yağ için ayrı) • Özel Tezgahlar (Test standları / Gravite Döküm / Dikey-yatay İşleme Merkezleri vb) alanlarında Almanya, İsviçre, Hindistan, İtalya ve Amerika kökenli temsilcilikleri ile hizmet vermekteyiz. Temsilciliklerimiz için : www.erdeticaret.com.tr</x:v>
      </x:c>
    </x:row>
    <x:row r="118">
      <x:c r="A118" s="3" t="str">
        <x:v>Erde Dış Ticaret Ltd. Şti. Temsilci Firma</x:v>
      </x:c>
      <x:c r="B118" s="3" t="str">
        <x:v>https://www.erdeticaret.com.tr/</x:v>
      </x:c>
      <x:c r="C118" s="3" t="str">
        <x:v>‎+90 216 330 24 00</x:v>
      </x:c>
      <x:c r="D118" s="3" t="str">
        <x:v>https://www.maktekfuari.com/brand/erde-dis-ticaret-ltd-sti-1</x:v>
      </x:c>
      <x:c r="E118" s="8" t="str">
        <x:v>Eğitim Mah. Ünal Sk. Ensar İş Mrk. No:5 D:8 34722 Hasanpaşa -Kadiköy / Istanbul Türkiye</x:v>
      </x:c>
      <x:c r="F118" s="3" t="str">
        <x:v>11</x:v>
      </x:c>
      <x:c r="G118" s="3" t="str">
        <x:v>1101C</x:v>
      </x:c>
      <x:c r="H118" s="8"/>
      <x:c r="I118" s="8"/>
      <x:c r="J118" s="8"/>
    </x:row>
    <x:row r="119">
      <x:c r="A119" s="3" t="str">
        <x:v>ERFAB İÇ VE DIŞ TİCARET A. Ş.</x:v>
      </x:c>
      <x:c r="B119" s="3"/>
      <x:c r="C119" s="3"/>
      <x:c r="D119" s="3" t="str">
        <x:v>https://www.maktekfuari.com/brand/erfab-ic-ve-dis-ticaret-a-s</x:v>
      </x:c>
      <x:c r="E119" s="8"/>
      <x:c r="F119" s="3" t="str">
        <x:v>11A</x:v>
      </x:c>
      <x:c r="G119" s="3" t="str">
        <x:v>17</x:v>
      </x:c>
      <x:c r="H119" s="8"/>
      <x:c r="I119" s="8"/>
      <x:c r="J119" s="8"/>
    </x:row>
    <x:row r="120">
      <x:c r="A120" s="3" t="str">
        <x:v>ERHAN TEKNİK HIRDAVAT SAN. TİC. LTD ŞTİ</x:v>
      </x:c>
      <x:c r="B120" s="3" t="str">
        <x:v>https://www.erhanteknik.com.tr</x:v>
      </x:c>
      <x:c r="C120" s="3" t="str">
        <x:v>‎+90 212 674 15 40</x:v>
      </x:c>
      <x:c r="D120" s="3" t="str">
        <x:v>https://www.maktekfuari.com/brand/erhan-teknik-hirdavat-san-tic-ltd-sti</x:v>
      </x:c>
      <x:c r="E120" s="8" t="str">
        <x:v>ORTA MAH. FERAH SOKAK EMİNTAŞ ONUR SAN. SİT. NO:6/E BAYRAMPAŞA/İSTANBUL</x:v>
      </x:c>
      <x:c r="F120" s="3" t="str">
        <x:v>11</x:v>
      </x:c>
      <x:c r="G120" s="3" t="str">
        <x:v>1163</x:v>
      </x:c>
      <x:c r="H120" s="8" t="str">
        <x:v>watano</x:v>
      </x:c>
      <x:c r="I120" s="8" t="str">
        <x:v>BISON BİAL S.A</x:v>
      </x:c>
      <x:c r="J120" s="8"/>
    </x:row>
    <x:row r="121">
      <x:c r="A121" s="3" t="str">
        <x:v>ERİŞ MAKİNA SANAYİ VE TİCARET A.Ş.</x:v>
      </x:c>
      <x:c r="B121" s="3"/>
      <x:c r="C121" s="3"/>
      <x:c r="D121" s="3" t="str">
        <x:v>https://www.maktekfuari.com/brand/eris-makina-sanayi-ve-ticaret-as</x:v>
      </x:c>
      <x:c r="E121" s="8"/>
      <x:c r="F121" s="3" t="str">
        <x:v>5</x:v>
      </x:c>
      <x:c r="G121" s="3" t="str">
        <x:v>505</x:v>
      </x:c>
      <x:c r="H121" s="8"/>
      <x:c r="I121" s="8"/>
      <x:c r="J121" s="8"/>
    </x:row>
    <x:row r="122">
      <x:c r="A122" s="3" t="str">
        <x:v>ERİŞ OTOMASYON MAK.SAN.TİC.LTD.ŞTİ.</x:v>
      </x:c>
      <x:c r="B122" s="3"/>
      <x:c r="C122" s="3"/>
      <x:c r="D122" s="3" t="str">
        <x:v>https://www.maktekfuari.com/brand/eris-otomasyon-maksanticltdsti</x:v>
      </x:c>
      <x:c r="E122" s="8"/>
      <x:c r="F122" s="3" t="str">
        <x:v>6</x:v>
      </x:c>
      <x:c r="G122" s="3" t="str">
        <x:v>607</x:v>
      </x:c>
      <x:c r="H122" s="8"/>
      <x:c r="I122" s="8"/>
      <x:c r="J122" s="8"/>
    </x:row>
    <x:row r="123">
      <x:c r="A123" s="3" t="str">
        <x:v>ERKAN CNC TEKNOLOJİLERİ A.Ş.</x:v>
      </x:c>
      <x:c r="B123" s="3" t="str">
        <x:v>https://www.erkancnc.com/</x:v>
      </x:c>
      <x:c r="C123" s="3" t="str">
        <x:v>‎+90 216 420 36 39</x:v>
      </x:c>
      <x:c r="D123" s="3" t="str">
        <x:v>https://www.maktekfuari.com/brand/erkan-cnc-teknolojileri-as</x:v>
      </x:c>
      <x:c r="E123" s="8" t="str">
        <x:v>İMES Sanayi Sitesi C Blok 301 Sokak No. 2 Y. Dudullu Ümraniye İstanbul</x:v>
      </x:c>
      <x:c r="F123" s="3" t="str">
        <x:v>7</x:v>
      </x:c>
      <x:c r="G123" s="3" t="str">
        <x:v>713</x:v>
      </x:c>
      <x:c r="H123" s="8" t="str">
        <x:v>TTAPEC; Gentiger; Biglia; Leadwell</x:v>
      </x:c>
      <x:c r="I123" s="8"/>
      <x:c r="J123" s="8" t="str">
        <x:v>Dünyanın önde gelen takım tezgâhı üreticilerinin Türkiye distribütörlüğünü yürütmekteyiz. Apec, Gentiger, Biglia, Leadwell, LEOMILL ve Yanyang markalarını Türk sanayisiyle buluşturarak yüksek teknoloji üretim çözümleri sunmaktayız. Tel erozyon, dalma erozyon, 3 ve 5 eksen işleme merkezleri, tornalama merkezleri, lazer desen işleme, eklemeli imalat ve otomasyon alanlarında komple üretim çözümleri sağlamaktayız. Başta otomotiv, havacılık-savunma, beyaz eşya, enerji ve kalıpçılık sektörleri olmak üzere birçok endüstri segmentine, tek makineden tam otomasyonlu akıllı fabrika projelerine kadar anahtar teslim çözümler sunuyoruz. 2002 yılında kurulan şirketimiz; İstanbul merkez ofis, showroom, uygulama merkezi ve lojistik birimleriyle faaliyet göstermekte, Ankara, İzmir ve Bursa temsilcilikleriyle hizmet vermektedir. Satış sonrası hizmetler ve EDM sarf malzemelerinde sektörün lider firmalarından biri olarak müşterilerimize destek sağlamaktayız.</x:v>
      </x:c>
    </x:row>
    <x:row r="124">
      <x:c r="A124" s="3" t="str">
        <x:v>ERKUR MAKİNE İMALAT PLASTİK İÇ VE DIŞ TİC. LTD. ŞTİ.</x:v>
      </x:c>
      <x:c r="B124" s="3"/>
      <x:c r="C124" s="3"/>
      <x:c r="D124" s="3" t="str">
        <x:v>https://www.maktekfuari.com/brand/erkur-makine-imalat-plastik-ic-ve-dis-tic-ltd-sti</x:v>
      </x:c>
      <x:c r="E124" s="8"/>
      <x:c r="F124" s="3" t="str">
        <x:v>12A</x:v>
      </x:c>
      <x:c r="G124" s="3" t="str">
        <x:v>50A</x:v>
      </x:c>
      <x:c r="H124" s="8"/>
      <x:c r="I124" s="8"/>
      <x:c r="J124" s="8"/>
    </x:row>
    <x:row r="125">
      <x:c r="A125" s="3" t="str">
        <x:v>ERMAKSAN MAKİNA SAN . VE TİC. A. Ş.</x:v>
      </x:c>
      <x:c r="B125" s="3" t="str">
        <x:v>https://www.ermaksan.com.tr</x:v>
      </x:c>
      <x:c r="C125" s="3" t="str">
        <x:v>‎+90 224 294 75 00</x:v>
      </x:c>
      <x:c r="D125" s="3" t="str">
        <x:v>https://www.maktekfuari.com/brand/ermaksan-makina-san-ve-tic-a-s</x:v>
      </x:c>
      <x:c r="E125" s="8" t="str">
        <x:v>Işıktepe Osb Mah. Lacivert Cad. No:8 16215 Nilüfer, Bursa / TÜRKİYE</x:v>
      </x:c>
      <x:c r="F125" s="3" t="str">
        <x:v>3</x:v>
      </x:c>
      <x:c r="G125" s="3" t="str">
        <x:v>315B</x:v>
      </x:c>
      <x:c r="H125" s="8" t="str">
        <x:v>Ermaksan Makine</x:v>
      </x:c>
      <x:c r="I125" s="8"/>
      <x:c r="J125" s="8" t="str">
        <x:v>Yarım asrı aşkın tecrübesiyle; sac işleme teknolojileri, eklemeli imalat ve optoelektronik alanlarında yüksek kaliteli, yenilikçi ve katma değerli ürünler geliştirir. Sağladığı çözümlerle sadece bugünün değil, geleceğin ihtiyaçlarına da cevap veren Ermaksan; sürdürülebilir üretim anlayışı, Ar-Ge odaklı yaklaşımı ve küresel vizyonuyla sektördeki öncü konumunu her geçen gün daha da sağlamlaştırmaktadır.</x:v>
      </x:c>
    </x:row>
    <x:row r="126">
      <x:c r="A126" s="3" t="str">
        <x:v>EROĞLU MAKİNA SAN. TİC. A. Ş. HASSAS TUTUCU TAKIM FABRİKASI</x:v>
      </x:c>
      <x:c r="B126" s="3" t="str">
        <x:v>https://www.eroglumakina.com</x:v>
      </x:c>
      <x:c r="C126" s="3" t="str">
        <x:v>+904447288</x:v>
      </x:c>
      <x:c r="D126" s="3" t="str">
        <x:v>https://www.maktekfuari.com/brand/eroglu-makina-san-tic-a-s-hassas-tutucu-takim-fabrikasi</x:v>
      </x:c>
      <x:c r="E126" s="8" t="str">
        <x:v>Demirci Mahallesi Demirci Yolu Caddesi No: 18 TR - 16270</x:v>
      </x:c>
      <x:c r="F126" s="3" t="str">
        <x:v>11</x:v>
      </x:c>
      <x:c r="G126" s="3" t="str">
        <x:v>1128</x:v>
      </x:c>
      <x:c r="H126" s="8" t="str">
        <x:v>EROĞLU MAKİNA SAN. TİC. A.Ş</x:v>
      </x:c>
      <x:c r="I126" s="8" t="str">
        <x:v>EROGLU Präzisionswerkzeuge GmbH</x:v>
      </x:c>
      <x:c r="J126" s="8" t="str">
        <x:v>EROGLU MAKİNA 1978 yılında Konya’da Nusret Eroğlu tarafından kuruldu ve Hassas Tutucu Takım Sistemlerinin üretimine 1 çalışanıyla başladı. Kuruluşundan bu yana, yüksek teknolojiye, AR-GE’ye, yeniliklere ve yeni projelere, vasıflı elemana sürekli yatırım yaparak başarılı ve istikrarlı yükselişini sürdürmektedir. Bugün Bursa’da modern üretim tesislerinde, yüksek performanslı CNC Makina parkurunda üretim yapmaktadır . 300 kişilik uzman kadrosuyla ürettiği 6.000 çeşidin üzerinde ürün gamıyla, hem kalite hemde marka olarak , dünyadaki üst düzey Hassas Tutucu Takım Sistemleri pazarında hak ettiği yerini almıştır. Aynı zamanda dünya pazarına 1997’den beri Bursa ve Mössingen’deki kendi depolarından uzman kadrosu ile satış ve dağıtım yapmaktadır. Her geçen gün daha yüksek teknoloji, yüksek hassasiyet, akıllı fiyat, hızlı teslimat ve teknik hizmet esaslı çalışmalarını siz kıymetli müşterilerinin memnuniyeti için büyük bir inanç ve heyecanla sürdürmektedir.</x:v>
      </x:c>
    </x:row>
    <x:row r="127">
      <x:c r="A127" s="3" t="str">
        <x:v>ETİ BİLGİSAYAR DAN.VE DIŞ TİCARET LTD.ŞTİ.</x:v>
      </x:c>
      <x:c r="B127" s="3" t="str">
        <x:v>https://www.eti.com.tr</x:v>
      </x:c>
      <x:c r="C127" s="3" t="str">
        <x:v>‎+90 212 212 98 02</x:v>
      </x:c>
      <x:c r="D127" s="3" t="str">
        <x:v>https://www.maktekfuari.com/brand/eti-bilgisayar-danve-dis-ticaret-ltdsti</x:v>
      </x:c>
      <x:c r="E127" s="8" t="str">
        <x:v>Mecidiyeköy Mah. Büyükdere Cad. Kuğu İş Hanı No: 81 K.3 D.5</x:v>
      </x:c>
      <x:c r="F127" s="3" t="str">
        <x:v>12A</x:v>
      </x:c>
      <x:c r="G127" s="3" t="str">
        <x:v>05</x:v>
      </x:c>
      <x:c r="H127" s="8" t="str">
        <x:v>ZWSOFT</x:v>
      </x:c>
      <x:c r="I127" s="8" t="str">
        <x:v>ZWSOFT</x:v>
      </x:c>
      <x:c r="J127" s="8" t="str">
        <x:v>Üretim ve mühendislik sektörlerinin dijital dönüşümüne yönelik yazılım çözümlerimizi MAKTEK 2026'da sektör profesyonelleriyle buluşturuyoruz. Standımızda, Türkiye distribütörlüğünü yürüttüğümüz ZWCAD ile çözüm ortağı olarak sunduğumuz ZW3D yazılımlarını tanıtacağız. ZWCAD, yüksek DWG uyumluluğu, güçlü performansı ve uygun maliyetli lisanslama modeliyle makine tasarımı, üretim projeleri ve teknik dokümantasyon süreçlerinde verimlilik sağlamaktadır. ZW3D ise 3D tasarım, montaj, kalıp geliştirme ve CAM uygulamalarını tek platformda birleştirerek ürün geliştirme ve üretim süreçlerini hızlandırmaktadır. Ziyaretçilerimiz, canlı uygulamalarla çözümlerimizi yakından inceleme, iş süreçlerini optimize edecek teknolojiler hakkında bilgi alma ve uzman ekibimizle görüşme fırsatı bulacaktır. Verimlilik ve rekabet gücünü artırmak isteyen tüm sektör profesyonellerini standımıza bekliyoruz.</x:v>
      </x:c>
    </x:row>
    <x:row r="128">
      <x:c r="A128" s="3" t="str">
        <x:v>Euroloy Carbide Tools Temsilci Firma</x:v>
      </x:c>
      <x:c r="B128" s="3" t="str">
        <x:v>https://euroloy.com</x:v>
      </x:c>
      <x:c r="C128" s="3" t="str">
        <x:v>90+902165401234</x:v>
      </x:c>
      <x:c r="D128" s="3" t="str">
        <x:v>https://www.maktekfuari.com/brand/euroloy-carbide-tools</x:v>
      </x:c>
      <x:c r="E128" s="8" t="str">
        <x:v>Üsküdar Cad. YEDPA No:1 Ataşehir / İstanbul</x:v>
      </x:c>
      <x:c r="F128" s="3" t="str">
        <x:v>11</x:v>
      </x:c>
      <x:c r="G128" s="3" t="str">
        <x:v>1101A</x:v>
      </x:c>
      <x:c r="H128" s="8"/>
      <x:c r="I128" s="8"/>
      <x:c r="J128" s="8"/>
    </x:row>
    <x:row r="129">
      <x:c r="A129" s="3" t="str">
        <x:v>EUROSERVO MOTOR TAMİR HİZMETLERİ SAN VE TİC. A.Ş.</x:v>
      </x:c>
      <x:c r="B129" s="3" t="str">
        <x:v>https://euroservo.com.tr/</x:v>
      </x:c>
      <x:c r="C129" s="3" t="str">
        <x:v>‎+90 531 734 84 72</x:v>
      </x:c>
      <x:c r="D129" s="3" t="str">
        <x:v>https://www.maktekfuari.com/brand/euroservo-motor-tamir-hizmetleri-san-ve-tic-as</x:v>
      </x:c>
      <x:c r="E129" s="8" t="str">
        <x:v>ESENKENT MAH. METHİYE SOK. NO: 1 ÜMRANİYE</x:v>
      </x:c>
      <x:c r="F129" s="3" t="str">
        <x:v>6</x:v>
      </x:c>
      <x:c r="G129" s="3" t="str">
        <x:v>603</x:v>
      </x:c>
      <x:c r="H129" s="8"/>
      <x:c r="I129" s="8"/>
      <x:c r="J129" s="8"/>
    </x:row>
    <x:row r="130">
      <x:c r="A130" s="3" t="str">
        <x:v>EYM İNOVASYON MAKİNA SAN. TİC. LTD. ŞTİ.</x:v>
      </x:c>
      <x:c r="B130" s="3" t="str">
        <x:v>https://www.eyinovasyon.com.tr</x:v>
      </x:c>
      <x:c r="C130" s="3" t="str">
        <x:v>‎+90 533 635 15 26</x:v>
      </x:c>
      <x:c r="D130" s="3" t="str">
        <x:v>https://www.maktekfuari.com/brand/eym-inovasyon-makina-san-tic-ltd-sti</x:v>
      </x:c>
      <x:c r="E130" s="8" t="str">
        <x:v>KARPUZSEKİSİ MAH.49.CADDE NO:HACILAR/KAYSERİ</x:v>
      </x:c>
      <x:c r="F130" s="3" t="str">
        <x:v>12A</x:v>
      </x:c>
      <x:c r="G130" s="3" t="str">
        <x:v>02</x:v>
      </x:c>
      <x:c r="H130" s="8"/>
      <x:c r="I130" s="8"/>
      <x:c r="J130" s="8"/>
    </x:row>
    <x:row r="131">
      <x:c r="A131" s="3" t="str">
        <x:v>FLİO OTOMASYON MAKİNA SAN.TİC.LTD.ŞTİ.</x:v>
      </x:c>
      <x:c r="B131" s="3" t="str">
        <x:v>https://www.flio.com.tr</x:v>
      </x:c>
      <x:c r="C131" s="3" t="str">
        <x:v>‎+90 332 501 42 47</x:v>
      </x:c>
      <x:c r="D131" s="3" t="str">
        <x:v>https://www.maktekfuari.com/brand/flio-otomasyon-makina-santicltdsti</x:v>
      </x:c>
      <x:c r="E131" s="8" t="str">
        <x:v>Fevzi Çakmak Mah. Ahmet Petekçi Cad. no:4/R PK42210</x:v>
      </x:c>
      <x:c r="F131" s="3" t="str">
        <x:v>11A</x:v>
      </x:c>
      <x:c r="G131" s="3" t="str">
        <x:v>48</x:v>
      </x:c>
      <x:c r="H131" s="8"/>
      <x:c r="I131" s="8"/>
      <x:c r="J131" s="8" t="str">
        <x:v>FLİO, genç ve dinamik mühendis kadrosuyla Ar-Ge inovasyon projelerini titizlikle yürütmektedir. Hedefimiz dünya pazarında ilk 3 yılda belirli bir ciro yapmak, ilk 10 yılda ise üretimin %60\’ını ihraç etmektir. Ürünlerimiz iş sağlığı ve iş güvenliği talimatlarında yer alan hükümlere uygundur. Meslek hastalığı riskini ortadan kaldırır. Firmalarda yağ bazlı soğutucu sıvıların kullanılması işçi sağlığını tehdit edebilir. Bizim ürettiğimiz cihazlar bu zararları azaltarak ortadan kaldırır ve işçi sağlığını korur. Firmalar sadece yasal yükümlülükleri yerine getirmiş olmaz, aynı zamanda çalışılabilir ortam sunarak işçilerinin memnuniyetini kazanırlar.</x:v>
      </x:c>
    </x:row>
    <x:row r="132">
      <x:c r="A132" s="3" t="str">
        <x:v>FLY METAL SAN.TİC.LTD.ŞTİ</x:v>
      </x:c>
      <x:c r="B132" s="3"/>
      <x:c r="C132" s="3"/>
      <x:c r="D132" s="3" t="str">
        <x:v>https://www.maktekfuari.com/brand/fly-metal-santicltdsti</x:v>
      </x:c>
      <x:c r="E132" s="8"/>
      <x:c r="F132" s="3" t="str">
        <x:v>11A</x:v>
      </x:c>
      <x:c r="G132" s="3" t="str">
        <x:v>32</x:v>
      </x:c>
      <x:c r="H132" s="8"/>
      <x:c r="I132" s="8"/>
      <x:c r="J132" s="8"/>
    </x:row>
    <x:row r="133">
      <x:c r="A133" s="3" t="str">
        <x:v>FORBA MAKİNA SAN. TİC. LTD. ŞTİ.</x:v>
      </x:c>
      <x:c r="B133" s="3" t="str">
        <x:v>https://forbamakina.com/</x:v>
      </x:c>
      <x:c r="C133" s="3" t="str">
        <x:v>‎+90 533 621 18 64</x:v>
      </x:c>
      <x:c r="D133" s="3" t="str">
        <x:v>https://www.maktekfuari.com/brand/forba-makina-san-tic-ltd-sti</x:v>
      </x:c>
      <x:c r="E133" s="8" t="str">
        <x:v>Beylikdüzü Organize Sanayi Bölgesi Birlik Sanayi Sitesi 2. Cadde No: 33</x:v>
      </x:c>
      <x:c r="F133" s="3" t="str">
        <x:v>1</x:v>
      </x:c>
      <x:c r="G133" s="3" t="str">
        <x:v>117</x:v>
      </x:c>
      <x:c r="H133" s="8"/>
      <x:c r="I133" s="8"/>
      <x:c r="J133" s="8" t="str">
        <x:v>FORBA MAKİNA ilk olarak 2003 yılında ORBA Makina San. Tic. olarak faaliyete geçmiştir. 2018 yılında FORBA Makina San. Tic. Ltd. Şti. olarak eksantrik pres makinaları alanında üretimini devam ettirmektedir. Forba Makina kaliteli malzeme ve işçilik faktörlerine önem vermektedir. Teknik kalite ve estetik görünümde ise oldukça iddialıdır. Üretilen Eksantrik Pres Makinaları (demonte) edilmesi ve montajı ile parça değişimi ve yedek parça temini dizayn aşamasında çok iyi planlanmıştır. Teknik ekibimizin tecrübesiyle pres makinalarımızın servis ağını tam anlamıyla sağlamaktayız. Preslerimizin kullanım hatalarının dışında tümüyle iki yıl(24 ay) garantimiz altındadır. Sanayicilerimizden gelecek değişik tip ve ölçülerde ki her tür makina siparişini de karşılayabiliriz. Vizyonumuz Pres Makinaları alanında son teknoloji kullanarak tüketilen enerji sarfiyatını azaltmaktır. Misyonumuz sanayimizin ihtiyaç duyduğu pres makinalarını yüksek kalite ile çevreyi ve insanı koruyan bir anlayışla, üretmek.</x:v>
      </x:c>
    </x:row>
    <x:row r="134">
      <x:c r="A134" s="3" t="str">
        <x:v>FORM MAKİNE CNC TAKIM TEZG SAN VE TİC LTD ŞTİ</x:v>
      </x:c>
      <x:c r="B134" s="3"/>
      <x:c r="C134" s="3"/>
      <x:c r="D134" s="3" t="str">
        <x:v>https://www.maktekfuari.com/brand/form-makine-cnc-takim-tezg-san-ve-tic-ltd-sti</x:v>
      </x:c>
      <x:c r="E134" s="8"/>
      <x:c r="F134" s="3" t="str">
        <x:v>7</x:v>
      </x:c>
      <x:c r="G134" s="3" t="str">
        <x:v>704</x:v>
      </x:c>
      <x:c r="H134" s="8"/>
      <x:c r="I134" s="8"/>
      <x:c r="J134" s="8"/>
    </x:row>
    <x:row r="135">
      <x:c r="A135" s="3" t="str">
        <x:v>FORM TEKNİK HIRD.SAN. VE TİC.LTD.ŞTİ.</x:v>
      </x:c>
      <x:c r="B135" s="3" t="str">
        <x:v>http://www.form-teknik.com/</x:v>
      </x:c>
      <x:c r="C135" s="3" t="str">
        <x:v>‎+90 532 316 22 65</x:v>
      </x:c>
      <x:c r="D135" s="3" t="str">
        <x:v>https://www.maktekfuari.com/brand/form-teknik-hirdsan-ve-ticltdsti</x:v>
      </x:c>
      <x:c r="E135" s="8" t="str">
        <x:v>TERSANE CD.FÜTUHAT SOK.ÇOLAKOĞLU İŞHANI NO:19/2</x:v>
      </x:c>
      <x:c r="F135" s="3" t="str">
        <x:v>11</x:v>
      </x:c>
      <x:c r="G135" s="3" t="str">
        <x:v>1178</x:v>
      </x:c>
      <x:c r="H135" s="8" t="str">
        <x:v>POKOLM; MST</x:v>
      </x:c>
      <x:c r="I135" s="8" t="str">
        <x:v>MST Corporation; Pokolm Frästechnik GmbH &amp; Co. KG; HANSONG M&amp;T Co., Ltd.</x:v>
      </x:c>
      <x:c r="J135" s="8" t="str">
        <x:v>FORM TEKNİK, 2000 yılından bu yana talaşlı imalat sektöründe kesici takım, takım tutucu ve teknik danışmanlık hizmetleri sunmaktadır. Deneyimli teknik kadromuz ile müşterilerimizin üretim verimliliğini artırmayı, yeni işleme teknolojileriyle maliyet avantajı sağlamayı hedeflemekteyiz. Alman POKOLM® firmasının Türkiye temsilcisi olarak yüksek performanslı frezeleme çözümleri sunarken, 2004 yılından itibaren Japon MST CORP. ile iş birliği yaparak hassas takım tutucu sistemlerini müşterilerimizle buluşturmaktayız. FORM TEKNİK, güçlü markaları ve teknik uzmanlığıyla kalıpçılık ve talaşlı imalat sektörüne yenilikçi çözümler sunmaya devam etmektedir.</x:v>
      </x:c>
    </x:row>
    <x:row r="136">
      <x:c r="A136" s="3" t="str">
        <x:v>GELİŞİM ELEKTROMEKANİK LTD. ŞTİ.</x:v>
      </x:c>
      <x:c r="B136" s="3" t="str">
        <x:v>https://www.gelisimmak.com/</x:v>
      </x:c>
      <x:c r="C136" s="3" t="str">
        <x:v>‎+90 332 345 05 88</x:v>
      </x:c>
      <x:c r="D136" s="3" t="str">
        <x:v>https://www.maktekfuari.com/brand/gelisim-elektromekanik-ltd-sti</x:v>
      </x:c>
      <x:c r="E136" s="8" t="str">
        <x:v>Büyükkayacık OSB Mahallesi. 8 Nolu Sokak. No: 16/1</x:v>
      </x:c>
      <x:c r="F136" s="3" t="str">
        <x:v>2</x:v>
      </x:c>
      <x:c r="G136" s="3" t="str">
        <x:v>207</x:v>
      </x:c>
      <x:c r="H136" s="8"/>
      <x:c r="I136" s="8"/>
      <x:c r="J136" s="8" t="str">
        <x:v>GELİŞİM ELEKTROMEKANİK LTD. ŞTİ. 1996 yılında Konya’da kurulmuş olup, halen İmsan Özel Organize Sanayi Sitesinde üretimine devam etmektedir. Kurulduğu yıldan itibaren yüksek kalite ve son teknolojiyle üretim yapmayı ilke edinen Gelişim Elektromekanik Ltd. Şti. kaliteyi iyileştirebilmek ve standartlaştırabilmek adına ISO 9001 kalite yönetim sistemi ve CE çalışmalarını hızla sürdürmektedir. Hızlı Kesme Makinesi İmalatı ve Müşteri isteğine göre talaşlı imalat otomasyon makineleri, kaynak otomasyonları, taşıma sistemleri, multi otomasyon makineleri ve özel otomasyon makineleri imalatı ile müşterilerinin çözüm ortağı olmayı başarmış, Türkiye’deki önde gelen endüstriyel otomasyon makineleri üreticilerinden biridir.</x:v>
      </x:c>
    </x:row>
    <x:row r="137">
      <x:c r="A137" s="3" t="str">
        <x:v>GENCO TEKNİK MAKİNA TİC. LTD. ŞTİ.</x:v>
      </x:c>
      <x:c r="B137" s="3" t="str">
        <x:v>https://www.gencomakina.com</x:v>
      </x:c>
      <x:c r="C137" s="3" t="str">
        <x:v>‎+90 533 365 96 42</x:v>
      </x:c>
      <x:c r="D137" s="3" t="str">
        <x:v>https://www.maktekfuari.com/brand/genco-teknik-makina-tic-ltd-sti</x:v>
      </x:c>
      <x:c r="E137" s="8" t="str">
        <x:v>Çamlık Mah.Yahya Kemal Beyatlı Cad. Yonca Sok.No: 7/1 C Blok D: 1</x:v>
      </x:c>
      <x:c r="F137" s="3" t="str">
        <x:v>11</x:v>
      </x:c>
      <x:c r="G137" s="3" t="str">
        <x:v>1144</x:v>
      </x:c>
      <x:c r="H137" s="8"/>
      <x:c r="I137" s="8"/>
      <x:c r="J137" s="8" t="str">
        <x:v>Genco Makina Ali Kemal Yörük tarafından 10 yıllık sektör deneyiminden sonra 2007 yılında kurulmuştur. Firmamız kalıpçılık sektörünün yüksek kalitede karbür parmak freze, takma uç ve takım tutucu ihtiyaçlarını karşılamaktadır.</x:v>
      </x:c>
    </x:row>
    <x:row r="138">
      <x:c r="A138" s="3" t="str">
        <x:v>GENESİS KALIP APARAT MÜHENDİSLİK SAN. VE TİC. LTD.ŞTİ.</x:v>
      </x:c>
      <x:c r="B138" s="3" t="str">
        <x:v>https://www.gnskalip.com</x:v>
      </x:c>
      <x:c r="C138" s="3" t="str">
        <x:v>‎+90 533 435 44 52</x:v>
      </x:c>
      <x:c r="D138" s="3" t="str">
        <x:v>https://www.maktekfuari.com/brand/genesis-kalip-aparat-muhendislik-san-ve-tic-ltdsti</x:v>
      </x:c>
      <x:c r="E138" s="8" t="str">
        <x:v>Üçevler Küçük san. sit. 21.sokak 34.blok no:71</x:v>
      </x:c>
      <x:c r="F138" s="3" t="str">
        <x:v>12A</x:v>
      </x:c>
      <x:c r="G138" s="3" t="str">
        <x:v>58D</x:v>
      </x:c>
      <x:c r="H138" s="8" t="str">
        <x:v>GNS Kalıp Standartları</x:v>
      </x:c>
      <x:c r="I138" s="8"/>
      <x:c r="J138" s="8" t="str">
        <x:v>GNS Kalıp Standartları, kalıp ve iş parçası bağlama elemanları, taşıma ve kaldırma elemanları, kılavuzlama elemanları ve standart kalıp elemanları alanında faaliyet gösteren yerli bir üretici ve tedarikçidir. Otomotiv, kalıpçılık, makine ve metal işleme sektörlerinin ihtiyaçlarına yönelik ürünler sunan firmamız; geniş ürün gamı, güçlü stok yapısı, hızlı üretim ve teslimat kabiliyeti ile müşterilerine güvenilir çözümler sağlamaktadır. GNS Kalıp Standartları, yüksek kalite standartlarını rekabetçi fiyat politikasıyla bir araya getirerek yerli ve uluslararası pazarlarda sürdürülebilir iş birlikleri geliştirmeyi hedeflemektedir. Teknik hırdavat bayileri, kalıp üreticileri ve sanayi kuruluşlarıyla B2B satış modeli kapsamında çalışmakta; Türkiye ve yurt dışında yeni bayi ve distribütörlük iş birliklerine açıktır.</x:v>
      </x:c>
    </x:row>
    <x:row r="139">
      <x:c r="A139" s="3" t="str">
        <x:v>GERMAK MAKİNA SANAYİ TİCARET LİMİTED ŞİRKETİ</x:v>
      </x:c>
      <x:c r="B139" s="3"/>
      <x:c r="C139" s="3"/>
      <x:c r="D139" s="3" t="str">
        <x:v>https://www.maktekfuari.com/brand/germak-makina-sanayi-ticaret-limited-sirketi</x:v>
      </x:c>
      <x:c r="E139" s="8"/>
      <x:c r="F139" s="3" t="str">
        <x:v>1</x:v>
      </x:c>
      <x:c r="G139" s="3" t="str">
        <x:v>109</x:v>
      </x:c>
      <x:c r="H139" s="8"/>
      <x:c r="I139" s="8"/>
      <x:c r="J139" s="8"/>
    </x:row>
    <x:row r="140">
      <x:c r="A140" s="3" t="str">
        <x:v>GESKO CNC TAKIM TEZGAHLARI SANAYI VE TICARET LIMITED SIRKETI</x:v>
      </x:c>
      <x:c r="B140" s="3"/>
      <x:c r="C140" s="3"/>
      <x:c r="D140" s="3" t="str">
        <x:v>https://www.maktekfuari.com/brand/gesko-cnc-takim-tezgahlari-sanayi-ve-ticaret-limited-sirketi</x:v>
      </x:c>
      <x:c r="E140" s="8"/>
      <x:c r="F140" s="3" t="str">
        <x:v>12</x:v>
      </x:c>
      <x:c r="G140" s="3" t="str">
        <x:v>1235</x:v>
      </x:c>
      <x:c r="H140" s="8"/>
      <x:c r="I140" s="8"/>
      <x:c r="J140" s="8"/>
    </x:row>
    <x:row r="141">
      <x:c r="A141" s="3" t="str">
        <x:v>GNC CNC MAKİNA TEKNOLOJİLERİ A.Ş.</x:v>
      </x:c>
      <x:c r="B141" s="3" t="str">
        <x:v>https://gncmak.com/</x:v>
      </x:c>
      <x:c r="C141" s="3" t="str">
        <x:v>‎+90 542 449 46 20</x:v>
      </x:c>
      <x:c r="D141" s="3" t="str">
        <x:v>https://www.maktekfuari.com/brand/gnc-cnc-makina-teknolojileri-as</x:v>
      </x:c>
      <x:c r="E141" s="8" t="str">
        <x:v>Yukarı Dudullu, Hünkar Sk. No:4, 34775 Dudullu/Ümraniye/Ümraniye/İstanbul</x:v>
      </x:c>
      <x:c r="F141" s="3" t="str">
        <x:v>7</x:v>
      </x:c>
      <x:c r="G141" s="3" t="str">
        <x:v>707B</x:v>
      </x:c>
      <x:c r="H141" s="8"/>
      <x:c r="I141" s="8" t="str">
        <x:v>Nakamura Tome; ONA; Romi; Lico; Vision Wide; Vonghler; Victor Taichung</x:v>
      </x:c>
      <x:c r="J141" s="8" t="str">
        <x:v>2010 yılında İstanbul’da kurulan GNC CNC Makina Teknolojileri; VICTOR Taichung, NAKAMURA-TOME, ROMI, VISION WIDE, ONA, VONGHLER ve LICO gibi yüksek hız ve kaliteye sahip üretime yüksek katma değer sağlayan takım tezgâhlarının Türkiye temsilciliğini başarıyla yürütüyor. Sahip olduğu teknolojik donanım ve yetkili servis ağı ile sektörüne fayda; çözüm ortaklarına katma değer oluşturmak amacıyla çıktığı bu yolda başarıyla ilerliyor. Şirketlerin üretim verimliliğini en üst seviyeye çıkarmaya ve Türkiye üretim sanayisinin gücüne güç katmaya devam ediyor.</x:v>
      </x:c>
    </x:row>
    <x:row r="142">
      <x:c r="A142" s="3" t="str">
        <x:v>GNN CNC TAKIM TEZGAHLARI SAN. LTD. ŞTİ.</x:v>
      </x:c>
      <x:c r="B142" s="3"/>
      <x:c r="C142" s="3"/>
      <x:c r="D142" s="3" t="str">
        <x:v>https://www.maktekfuari.com/brand/gnn-cnc-takim-tezgahlari-san-ltd-sti</x:v>
      </x:c>
      <x:c r="E142" s="8"/>
      <x:c r="F142" s="3" t="str">
        <x:v>12</x:v>
      </x:c>
      <x:c r="G142" s="3" t="str">
        <x:v>1230</x:v>
      </x:c>
      <x:c r="H142" s="8"/>
      <x:c r="I142" s="8"/>
      <x:c r="J142" s="8"/>
    </x:row>
    <x:row r="143">
      <x:c r="A143" s="3" t="str">
        <x:v>GRİNDTEC MAKİNA SAN VE TİC LTD ŞTİ</x:v>
      </x:c>
      <x:c r="B143" s="3" t="str">
        <x:v>https://grindtec.com.tr/</x:v>
      </x:c>
      <x:c r="C143" s="3" t="str">
        <x:v>‎+90 216 572 18 23</x:v>
      </x:c>
      <x:c r="D143" s="3" t="str">
        <x:v>https://www.maktekfuari.com/brand/grindtec-makina-san-ve-tic-ltd-sti</x:v>
      </x:c>
      <x:c r="E143" s="8" t="str">
        <x:v>Küçükbakkalköy Mah. Şerif Ali Yolu Cad. Çetin Sok. No15/1 P.K. 34750 Ataşehir/İstanbul</x:v>
      </x:c>
      <x:c r="F143" s="3" t="str">
        <x:v>12</x:v>
      </x:c>
      <x:c r="G143" s="3" t="str">
        <x:v>1210A</x:v>
      </x:c>
      <x:c r="H143" s="8"/>
      <x:c r="I143" s="8"/>
      <x:c r="J143" s="8"/>
    </x:row>
    <x:row r="144">
      <x:c r="A144" s="3" t="str">
        <x:v>GRUP TEKNİK HIRDAVAT MAKİNA VE İNŞ. SAN. LTD. ŞTİ.</x:v>
      </x:c>
      <x:c r="B144" s="3"/>
      <x:c r="C144" s="3"/>
      <x:c r="D144" s="3" t="str">
        <x:v>https://www.maktekfuari.com/brand/grup-teknik-hirdavat-makina-ve-ins-san-ltd-sti</x:v>
      </x:c>
      <x:c r="E144" s="8"/>
      <x:c r="F144" s="3" t="str">
        <x:v>12A</x:v>
      </x:c>
      <x:c r="G144" s="3" t="str">
        <x:v>49D</x:v>
      </x:c>
      <x:c r="H144" s="8"/>
      <x:c r="I144" s="8"/>
      <x:c r="J144" s="8"/>
    </x:row>
    <x:row r="145">
      <x:c r="A145" s="3" t="str">
        <x:v>GTECH KESİCİ TAKIMLAR SAN. VE TİC. LTD. ŞTİ.</x:v>
      </x:c>
      <x:c r="B145" s="3" t="str">
        <x:v>https://g-tech.com.tr/</x:v>
      </x:c>
      <x:c r="C145" s="3" t="str">
        <x:v>‎+90 530 446 88 63</x:v>
      </x:c>
      <x:c r="D145" s="3" t="str">
        <x:v>https://www.maktekfuari.com/brand/gtech-kesici-takimlar-san-ve-tic-ltd-sti</x:v>
      </x:c>
      <x:c r="E145" s="8" t="str">
        <x:v>İMES Sanayi Sitesi E Blok 504. Sokak No: 1 37775 Ümraniye</x:v>
      </x:c>
      <x:c r="F145" s="3" t="str">
        <x:v>11, 12, 12</x:v>
      </x:c>
      <x:c r="G145" s="3" t="str">
        <x:v>1168, 1218, 1224</x:v>
      </x:c>
      <x:c r="H145" s="8"/>
      <x:c r="I145" s="8" t="str">
        <x:v>WEIDA</x:v>
      </x:c>
      <x:c r="J145" s="8" t="str">
        <x:v>G-Tech CNC sunduğu makina teknolojileri ile en yüksek seviyede teknik servis hizmeti sunan müşteri memnuniyetine değer veren tüm birimleri ile kendi faaliyet alanında örnek gösterilen referans teşkil eden bir şirket olma amacı ile çalışmalarına sürdürmektedir. G-Tech CNC daima gelişime açık, bünyesine kattığı farklı ürün grupları ile müşteri arz ve taleplerine çok yönlü cevap vererek her zaman ilk akla gelen ve her daim çözüm ortağı olmayı hedefleyen bir yapıda ürün gamı çeşitliliğini arttırmaktadır. Bünyesinde bulundurduğu teknolojilerle müşterileri buluşturan memnuniyete değer veren ve sektörde ilk akla gelen şirket olma yolunda kendini geliştirmekte ve çalışmalarını bu yönde ilerletmektedir.</x:v>
      </x:c>
    </x:row>
    <x:row r="146">
      <x:c r="A146" s="3" t="str">
        <x:v>GÜNEY TALAŞLI İMALAT MAKİNA SANAYİ VE TİCARET LİMİTED ŞİRKETİ</x:v>
      </x:c>
      <x:c r="B146" s="3" t="str">
        <x:v>https://guney-muhendislik.com/</x:v>
      </x:c>
      <x:c r="C146" s="3" t="str">
        <x:v>‎+90 216 471 72 18</x:v>
      </x:c>
      <x:c r="D146" s="3" t="str">
        <x:v>https://www.maktekfuari.com/brand/guney-talasli-imalat-makina-sanayi-ve-ticaret-limited-sirketi</x:v>
      </x:c>
      <x:c r="E146" s="8" t="str">
        <x:v>Küçükbakkalköy Mah. Derebeysok Dumankaya Flex No: 13 D. 75</x:v>
      </x:c>
      <x:c r="F146" s="3" t="str">
        <x:v>11</x:v>
      </x:c>
      <x:c r="G146" s="3" t="str">
        <x:v>1111</x:v>
      </x:c>
      <x:c r="H146" s="8"/>
      <x:c r="I146" s="8" t="str">
        <x:v>Atling Steady Rest; DTR; Dorfner Schleifmittelwerk GmbH; WILHELM KÖNIG MTM GmbH</x:v>
      </x:c>
      <x:c r="J146" s="8" t="str">
        <x:v>Güney Makina, dişli imalat takımları, bağlama sistemleri, taşlama taşları, hidrolik ara yatakların satışı ve servisini yapmaktadır.</x:v>
      </x:c>
    </x:row>
    <x:row r="147">
      <x:c r="A147" s="3" t="str">
        <x:v>GUOHONG MAKİNA EKİPMANLARI İMALAT LİMİTED ŞİRKETİ</x:v>
      </x:c>
      <x:c r="B147" s="3"/>
      <x:c r="C147" s="3"/>
      <x:c r="D147" s="3" t="str">
        <x:v>https://www.maktekfuari.com/brand/guohong-makina-ekipmanlari-imalat-limited-sirketi</x:v>
      </x:c>
      <x:c r="E147" s="8"/>
      <x:c r="F147" s="3" t="str">
        <x:v>11A</x:v>
      </x:c>
      <x:c r="G147" s="3" t="str">
        <x:v>27</x:v>
      </x:c>
      <x:c r="H147" s="8"/>
      <x:c r="I147" s="8"/>
      <x:c r="J147" s="8"/>
    </x:row>
    <x:row r="148">
      <x:c r="A148" s="3" t="str">
        <x:v>GÜRİŞ İŞ MAKİNALARI END. A.Ş.</x:v>
      </x:c>
      <x:c r="B148" s="3"/>
      <x:c r="C148" s="3"/>
      <x:c r="D148" s="3" t="str">
        <x:v>https://www.maktekfuari.com/brand/guris-is-makinalari-end-as</x:v>
      </x:c>
      <x:c r="E148" s="8"/>
      <x:c r="F148" s="3" t="str">
        <x:v>10</x:v>
      </x:c>
      <x:c r="G148" s="3" t="str">
        <x:v>1016</x:v>
      </x:c>
      <x:c r="H148" s="8"/>
      <x:c r="I148" s="8"/>
      <x:c r="J148" s="8"/>
    </x:row>
    <x:row r="149">
      <x:c r="A149" s="3" t="str">
        <x:v>GÜVENAL MAK.TİC.VE SAN.LTD.ŞTİ.</x:v>
      </x:c>
      <x:c r="B149" s="3"/>
      <x:c r="C149" s="3"/>
      <x:c r="D149" s="3" t="str">
        <x:v>https://www.maktekfuari.com/brand/guvenal-makticve-sanltdsti</x:v>
      </x:c>
      <x:c r="E149" s="8"/>
      <x:c r="F149" s="3" t="str">
        <x:v>5</x:v>
      </x:c>
      <x:c r="G149" s="3" t="str">
        <x:v>510</x:v>
      </x:c>
      <x:c r="H149" s="8"/>
      <x:c r="I149" s="8"/>
      <x:c r="J149" s="8"/>
    </x:row>
    <x:row r="150">
      <x:c r="A150" s="3" t="str">
        <x:v>HAIMER DIŞ TİC. LTD. ŞTİ.</x:v>
      </x:c>
      <x:c r="B150" s="3" t="str">
        <x:v>https://www.haimer.com.tr/</x:v>
      </x:c>
      <x:c r="C150" s="3" t="str">
        <x:v>‎+90 312 395 68 82</x:v>
      </x:c>
      <x:c r="D150" s="3" t="str">
        <x:v>https://www.maktekfuari.com/brand/haimer-dis-tic-ltd-sti</x:v>
      </x:c>
      <x:c r="E150" s="8" t="str">
        <x:v>İOSB 1122. Cadde Maxivedik İş Merkezi No: 20/111</x:v>
      </x:c>
      <x:c r="F150" s="3" t="str">
        <x:v>11</x:v>
      </x:c>
      <x:c r="G150" s="3" t="str">
        <x:v>1156</x:v>
      </x:c>
      <x:c r="H150" s="8"/>
      <x:c r="I150" s="8"/>
      <x:c r="J150" s="8" t="str">
        <x:v>HAIMER, Almanya’nın Augsburg kentinin yakınlarında bulunan Igenhausen, Bavyera eyaletinde faaliyet göstermekte olan orta ölçekli bir aile şirketidir. HAIMER; otomotiv, havacılık, enerji, demiryolu ve genel makine işleme gibi diğer sanayi kolları için olduğu gibi aynı zamanda metal-kesim için de yenilikçi ve yüksek hassasiyetli ürünlerin tasarımını, üretimini ve satışını yapmaktadır. Shrink ve balans makinasi, 3D Sensör ve tüm tercih edilen arayüz ve uzunluklardaki takim tutucular gibi ürünlerinin yani sira, ürün çesitliliginde ayrica karbür frezeleri ve taslama adaptörlerini de içermektedir.</x:v>
      </x:c>
    </x:row>
    <x:row r="151">
      <x:c r="A151" s="3" t="str">
        <x:v>HAİPAWA KESİCİ TAKIMLAR METİN AYDIN</x:v>
      </x:c>
      <x:c r="B151" s="3" t="str">
        <x:v>https://www.haipawatech.com</x:v>
      </x:c>
      <x:c r="C151" s="3" t="str">
        <x:v>‎+90 532 707 40 58</x:v>
      </x:c>
      <x:c r="D151" s="3" t="str">
        <x:v>https://www.maktekfuari.com/brand/haipawa-kesici-takimlar-metin-aydin</x:v>
      </x:c>
      <x:c r="E151" s="8" t="str">
        <x:v>Topçular Mahallesi Rami Kışla Caddesi Yöntem Vaytaş Plaza NO:58/60 Kat:2 İç Kapı No:21 EYÜPSULTAN-İSTANBUL-TÜRKİYE</x:v>
      </x:c>
      <x:c r="F151" s="3" t="str">
        <x:v>12A</x:v>
      </x:c>
      <x:c r="G151" s="3" t="str">
        <x:v>36</x:v>
      </x:c>
      <x:c r="H151" s="8" t="str">
        <x:v>SANOWA; CARMON; NEUWERK</x:v>
      </x:c>
      <x:c r="I151" s="8" t="str">
        <x:v>NEUWERK TOOLS; CARMON</x:v>
      </x:c>
      <x:c r="J151" s="8" t="str">
        <x:v>HAIPAWA KESİCİ TAKIMLAR: Talaşlı İmalatta Güç ve Hassasiyetin Merkezi Haipawa Kesici Takımlar, sektördeki 25 yıllık köklü tecrübenin getirdiği birikimle, 2020 yılından bu yana sanayicilerimize yüksek performanslı çözümler sunmaktadır. Kurulduğu günden bu yana "Türkiye’nin Kılavuz Merkezi" olma vizyonuyla hareket eden firmamız, makina kılavuzları alanında uzmanlaşmış kadrosuyla üretim süreçlerinize değer katmaktadır. Özellikle İtalyan kılavuz teknolojilerinin Türkiye’deki öncü distribütörü olarak, Avrupa’nın en saygın markalarını tek çatı altında topluyoruz. CARMON, NEUWERK TOOLS ve SANOWA THREADING gibi dünya devi markaların Türkiye temsilciliğini yürüten Haipawa, en zorlu malzemelerde bile kusursuz diş açma çözümleri sunar. İthalat ve geniş satış-dağıtım ağımızla, kaliteli takım ihtiyacınızı hızlı ve güvenilir bir şekilde karşılıyor; çeyrek asırlık teknik tecrübemizi modern mühendislik çözümleriyle birleştiriyoruz.</x:v>
      </x:c>
    </x:row>
    <x:row r="152">
      <x:c r="A152" s="3" t="str">
        <x:v>HAKSAN TAKIM TEZGAHLARI MAKINA SAN. VE TIC.LTD.STI.</x:v>
      </x:c>
      <x:c r="B152" s="3" t="str">
        <x:v>https://www.haksanmakina.com.tr</x:v>
      </x:c>
      <x:c r="C152" s="3" t="str">
        <x:v>‎+90 212 567 33 31</x:v>
      </x:c>
      <x:c r="D152" s="3" t="str">
        <x:v>https://www.maktekfuari.com/brand/haksan-takim-tezgahlari-makina-san-ve-ticltdsti</x:v>
      </x:c>
      <x:c r="E152" s="8" t="str">
        <x:v>Yenidoğan Mahallesi Eyüpsultan Caddesi No:24</x:v>
      </x:c>
      <x:c r="F152" s="3" t="str">
        <x:v>4</x:v>
      </x:c>
      <x:c r="G152" s="3" t="str">
        <x:v>403</x:v>
      </x:c>
      <x:c r="H152" s="8"/>
      <x:c r="I152" s="8" t="str">
        <x:v>L.K. MACHINERY; ECOCA INDUSTRY (FAIR FRIEND GROUP); MANFORD MACHINERY; DOWELL MACHINERY (TONGYI MACHINERY); BAOJI MACHINERY</x:v>
      </x:c>
      <x:c r="J152" s="8" t="str">
        <x:v>HAKSAN MAKİNA 1972 yılında avize kalıpları ve makinaları üretimi üzerine kurulmuş olup, kısa süre içerisinde Türkiye’de ilk defa %100 yerli Hassas Manderen imalatına başlamıştır. Türkiye ve çevre ülkelerde kısa süre içerisinde üretim kalitesi ve prensipli ticareti ile markalaşan Haksan Makina sanayicimizin beğenisini kazanmıştır. 1987 yılında üretilen ürünlerini perakende olarak son kullanıcıya ulaştırılması amacı ile mütevazi bir mağaza açmış ve ticari hayatına da adımını atmıştır. Ürün çeşitlerinin artması ve sanayicimizin beklentilerine daha hızlı ve kaliteli şekilde cevap verebilmek anlamında \"Makine Marketiniz\" sloganını düstur edinmiş ve satış ağını, ürün yelpazesini genişleterek Takım Tezgahları Sektöründe anahtar teslim projeler dahil olmak üzere satış ve satış sonrası hizmetlerde genç, dinamik kadrosu ile Türk Sanayisine hizmet etmektedir.</x:v>
      </x:c>
    </x:row>
    <x:row r="153">
      <x:c r="A153" s="3" t="str">
        <x:v>HAN ELEKTRONİK VE MEKANİK SANAYİ İÇ VE DIŞ TİC. LTD. ŞTİ.</x:v>
      </x:c>
      <x:c r="B153" s="3" t="str">
        <x:v>http://www.hanelectronic.com/</x:v>
      </x:c>
      <x:c r="C153" s="3" t="str">
        <x:v>‎+90 332 345 18 38</x:v>
      </x:c>
      <x:c r="D153" s="3" t="str">
        <x:v>https://www.maktekfuari.com/brand/han-elektronik-ve-mekanik-sanayi-ic-ve-dis-tic-ltd-sti</x:v>
      </x:c>
      <x:c r="E153" s="8" t="str">
        <x:v>Fevzi Çakmak Mahallesi Büsan Özel Organize Sanayi Sitesi 10642. Sokak No: 38</x:v>
      </x:c>
      <x:c r="F153" s="3" t="str">
        <x:v>8</x:v>
      </x:c>
      <x:c r="G153" s="3" t="str">
        <x:v>810</x:v>
      </x:c>
      <x:c r="H153" s="8" t="str">
        <x:v>ALEX-TECH MACHINERY INDUSTRIAL CO.; LTD.; CNC; EXACT</x:v>
      </x:c>
      <x:c r="I153" s="8" t="str">
        <x:v>Alex-Tech Machinery Industrial Co., Ltd.; Exact Machinery Co., Ltd.</x:v>
      </x:c>
      <x:c r="J153" s="8" t="str">
        <x:v>CNC sektöründe makinenin kalitesi ve menşei’nden daha önemli olan bir şey vardır ki o da kurulum sonrası verilen teknik servis hizmetidir. Kurulum sonrası oluşabilecek kullanıcı yada üretici kaynaklı arızalarda en kısa sürede, yerinde ve zamanında müdahaleyi kendisine felsefe edinmiş olan servis firmamız HAN ELEKTRONİK geniş yedek parça stoğu ve dinamik servis personelleri ile Konya merkez olmak üzere, İstanbul, İzmir, Bursa, Ankara şubeleri ve Kayseri servis noktalarından tüm Türkiye’deki müşterilerine 7/24 hizmet vermektedir.</x:v>
      </x:c>
    </x:row>
    <x:row r="154">
      <x:c r="A154" s="3" t="str">
        <x:v>HANKO MAKİNA SAN. VE TİC.LTD.ŞTİ.</x:v>
      </x:c>
      <x:c r="B154" s="3" t="str">
        <x:v>http://www.hankoltd.com/</x:v>
      </x:c>
      <x:c r="C154" s="3" t="str">
        <x:v>‎+90 216 456 10 43</x:v>
      </x:c>
      <x:c r="D154" s="3" t="str">
        <x:v>https://www.maktekfuari.com/brand/hanko-makina-san-ve-ticltdsti</x:v>
      </x:c>
      <x:c r="E154" s="8" t="str">
        <x:v>Atatürk Mah. Ataşehir Bul. Ata 2-3 Plaza Kat:3 Da: 34 Ataşehir</x:v>
      </x:c>
      <x:c r="F154" s="3" t="str">
        <x:v>5</x:v>
      </x:c>
      <x:c r="G154" s="3" t="str">
        <x:v>508</x:v>
      </x:c>
      <x:c r="H154" s="8"/>
      <x:c r="I154" s="8" t="str">
        <x:v>C.M.S. SpA; Kern Microtechnik GmbH; REMACONTROL SRL; ASC Process Systems; Virtek Vision International; NCG CAM Solutions Ltd; Fidia S.p.A.</x:v>
      </x:c>
      <x:c r="J154" s="8" t="str">
        <x:v>HANKO MAKİNA, 2007 yılında Istanbul da kurulmuştur. Faaliyet Alanı özel yapım Kompozit Üretim Ekipmanları, 5 eksen CNC İşleme Merkezleri ve yazılımları temsilciliği yapmak ve ihtiyaç teknik desteği vermektir. Kurulum, eğitim ve teknik desteği 25 yıllık deneyimi olan uzman kadromuzla 7/24 verilmekteyiz. Sektörler : Havacılık ve Uzay, Savunma, Otomotiv, Model, Yat Tersaneleri, İnşaat, Kalıpçılık Üretim Metodları : Talaşlı İmalat, Kompozit Ürünler : Kompozit üretim ekipmanları: CMS KOMPOZİT 5 EKSEN CNC İşleme Merkezleri /İTALYA , ASC Otoklav sistemleri / USA, TECSCAN NDT Sistemleri / KANADA, FK GROUP / İtalya CNC Kumaş Kesme Makinaları, VİRTEK / KANADA Lazer Projeksiyon Sistemleri Metal 5 eksen CNC İşleme Merkezleri: FIDIA CNC İşleme Merkezleri /İTALYA, KERN Mikro İşleme Merkezleri/Almanya Yazılımlar: NCG CAM 5 eksen CAM yazılımı, EUREKA CNC Tezgah Simülasyon Yazılımı</x:v>
      </x:c>
    </x:row>
    <x:row r="155">
      <x:c r="A155" s="3" t="str">
        <x:v>HARDE KALIP ELEMANLARI ÇELİK VE TEKNİK HIRDAVAT İTHALAT İHRACAT SANAYİ VE TİCARET LİMİTED ŞİRKETİ</x:v>
      </x:c>
      <x:c r="B155" s="3"/>
      <x:c r="C155" s="3"/>
      <x:c r="D155" s="3" t="str">
        <x:v>https://www.maktekfuari.com/brand/harde-kalip-elemanlari-celik-ve-teknik-hirdavat-ithalat-ihracat-sanayi-ve-ticaret-limited-sirketi</x:v>
      </x:c>
      <x:c r="E155" s="8"/>
      <x:c r="F155" s="3" t="str">
        <x:v>11</x:v>
      </x:c>
      <x:c r="G155" s="3" t="str">
        <x:v>1170</x:v>
      </x:c>
      <x:c r="H155" s="8"/>
      <x:c r="I155" s="8"/>
      <x:c r="J155" s="8"/>
    </x:row>
    <x:row r="156">
      <x:c r="A156" s="3" t="str">
        <x:v>HASSAS MÜHENDİSLİK SAN. VE TİC. LTD. ŞTİ.</x:v>
      </x:c>
      <x:c r="B156" s="3" t="str">
        <x:v>https://www.hassas.com</x:v>
      </x:c>
      <x:c r="C156" s="3" t="str">
        <x:v>‎+90 212 280 55 55</x:v>
      </x:c>
      <x:c r="D156" s="3" t="str">
        <x:v>https://www.maktekfuari.com/brand/hassas-muhendislik-san-ve-tic-ltd-sti</x:v>
      </x:c>
      <x:c r="E156" s="8" t="str">
        <x:v>Sanayi Sitesi Çelik Cad. No: 28 4. Levent 38418</x:v>
      </x:c>
      <x:c r="F156" s="3" t="str">
        <x:v>11</x:v>
      </x:c>
      <x:c r="G156" s="3" t="str">
        <x:v>1106</x:v>
      </x:c>
      <x:c r="H156" s="8" t="str">
        <x:v>HASSAS</x:v>
      </x:c>
      <x:c r="I156" s="8"/>
      <x:c r="J156" s="8" t="str">
        <x:v>HASSAS Mühendislik, metal işleme sektöründe kullanılan her türlü kesici takımın üretilmesi ve doğru formda yeniden bilenmesi için kullanılan, Takım Bileme Tezgahlarının tasarım ve üretiminde uzmanlaşmış nadir “Yerli Üretici” firmalarımızdan biridir. Bu tecrübe ve birikimlerimiz bizi zaman içerisinde, endüstrimizin farklı dallarında ihtiyaç duyulan Otomasyon Sistemlerinin tasarım ve üretiminde de yetkin hale getirmiştir. Bir imalatçı firma olarak müşteri memnuniyetinin, daha büyük başarılara imza atmada asıl etken olduğuna ve firma başarısının, müşterilerimizin başarısından geçtiğine inanıyoruz. Kurulduğumuz günden bu güne temel amacımız, daima kalite için çalışmak ve müşterilerimizin güvenini kazanmak olmuştur. Ürünlerimiz, hassasiyet, kalite ve güvenirliğin ön planda olduğu dünya çapındaki binlerce işletmede yıllardır memnuniyetle kullanılmakta olup, sahip olduğumuz referanslar da, bu memnuniyetin birer göstergesidir.</x:v>
      </x:c>
    </x:row>
    <x:row r="157">
      <x:c r="A157" s="3" t="str">
        <x:v>HATSAN SİLAH MAKİNA KALIP SAN VE TİC A.Ş.</x:v>
      </x:c>
      <x:c r="B157" s="3" t="str">
        <x:v>https://hatsancuttingtools.com/ https://hatsan.com.tr/tr/</x:v>
      </x:c>
      <x:c r="C157" s="3" t="str">
        <x:v>‎+90 505 759 11 35</x:v>
      </x:c>
      <x:c r="D157" s="3" t="str">
        <x:v>https://www.maktekfuari.com/brand/hatsan-silah-makina-kalip-san-ve-tic-as</x:v>
      </x:c>
      <x:c r="E157" s="8" t="str">
        <x:v>Kemalpaşa OSB, 627 Sokak No:365/1, 35730 Kemalpaşa/İzmir</x:v>
      </x:c>
      <x:c r="F157" s="3" t="str">
        <x:v>12A</x:v>
      </x:c>
      <x:c r="G157" s="3" t="str">
        <x:v>50F</x:v>
      </x:c>
      <x:c r="H157" s="8"/>
      <x:c r="I157" s="8"/>
      <x:c r="J157" s="8" t="str">
        <x:v>Hatsan Silah Makine, savunma sanayi ve hassas üretim alanındaki uzun yıllara dayanan tecrübesini kesici takım teknolojilerine taşıyarak kendi karbür freze, matkap ve raybalarını geliştirmekte ve üretmektedir. Kesici takımlarımız, yalnızca tasarım ve üretim aşamalarında değil, gerçek üretim koşullarında da sürekli olarak test edilmektedir. Bünyemizde bulunan yaklaşık 400 adet CNC tezgâhı, ürün geliştirme ve performans doğrulama süreçlerimizin en önemli parçasını oluşturmaktadır. Ürettiğimiz takımlar bu tezgâhlarda aktif olarak kullanılmakta, elde edilen veriler doğrultusunda sürekli iyileştirilmektedir. Bu sayede müşterilerimize; yüksek kesme performansı, uzun takım ömrü ve proses güvenilirliği sunan, üretim sahasında kendini kanıtlamış çözümler sağlamaktayız. Güçlü üretim altyapımız, mühendislik yetkinliğimiz ve kalite odaklı yaklaşımımızla yerli kesici takım teknolojilerinin geliştirilmesine katkı sağlamayı ve sanayimizin ihtiyaçlarına rekabetçi çözümler sunmayı hedefliyoruz.</x:v>
      </x:c>
    </x:row>
    <x:row r="158">
      <x:c r="A158" s="3" t="str">
        <x:v>HERMAKİNA CNC TAK.TEZ.VE BİL.SİS.İTH.İHR.SA.Tİ.LTD.ŞTİ.</x:v>
      </x:c>
      <x:c r="B158" s="3" t="str">
        <x:v>https://hermakina.com.tr/</x:v>
      </x:c>
      <x:c r="C158" s="3" t="str">
        <x:v>‎+90 216 304 00 07</x:v>
      </x:c>
      <x:c r="D158" s="3" t="str">
        <x:v>https://www.maktekfuari.com/brand/hermakina-cnc-taktezve-bilsisithihrsatiltdsti</x:v>
      </x:c>
      <x:c r="E158" s="8" t="str">
        <x:v>Orta Mah. Atayolu Cad. Erdem San Sit. F3 Blok No: 15-F3 İç Kapı No: 3 34956</x:v>
      </x:c>
      <x:c r="F158" s="3" t="str">
        <x:v>4</x:v>
      </x:c>
      <x:c r="G158" s="3" t="str">
        <x:v>407</x:v>
      </x:c>
      <x:c r="H158" s="8"/>
      <x:c r="I158" s="8" t="str">
        <x:v>HERMLE</x:v>
      </x:c>
      <x:c r="J158" s="8"/>
    </x:row>
    <x:row r="159">
      <x:c r="A159" s="3" t="str">
        <x:v>HİCO MAKİNA VE MÜH.LTD.ŞTİ.</x:v>
      </x:c>
      <x:c r="B159" s="3" t="str">
        <x:v>https://www.hicopres.com/</x:v>
      </x:c>
      <x:c r="C159" s="3" t="str">
        <x:v>‎+90 332 322 70 77</x:v>
      </x:c>
      <x:c r="D159" s="3" t="str">
        <x:v>https://www.maktekfuari.com/brand/hico-makina-ve-muhltdsti</x:v>
      </x:c>
      <x:c r="E159" s="8" t="str">
        <x:v>Fevzi Çakmak Mahallesi 10670. Sokak No: 31M Karatay</x:v>
      </x:c>
      <x:c r="F159" s="3" t="str">
        <x:v>2</x:v>
      </x:c>
      <x:c r="G159" s="3" t="str">
        <x:v>228</x:v>
      </x:c>
      <x:c r="H159" s="8" t="str">
        <x:v>HİCO</x:v>
      </x:c>
      <x:c r="I159" s="8"/>
      <x:c r="J159" s="8" t="str">
        <x:v>HİCO Makine ve Mühendislik Ltd. Şti., temelleri 1947’de Halil İbrahim Canat tarafından atılan köklü bir aile şirketidir. İlk yıllarda ziraat makineleri üreterek bölgeye hizmet vermiş, aynı zamanda Konya sanayisine nitelikli ustalar kazandırmıştır. Vizyoner yaklaşımıyla çelik döküm, oksijen üretimi ve farklı sektörlerde öncü adımlar atılmıştır. 1972’de “HİCO” markasıyla kurumsallaşan firma, Konya’daki ilk eksantrik pres üretimini gerçekleştirmiştir. Bugün üçüncü kuşak yönetimiyle faaliyetlerini sürdüren HİCO, yüksek kalite anlayışı ve güçlü tecrübesiyle hem Türkiye’de hem de uluslararası pazarda güvenilir bir marka olarak öne çıkmaktadır.</x:v>
      </x:c>
    </x:row>
    <x:row r="160">
      <x:c r="A160" s="3" t="str">
        <x:v>HİDKOM MÜHENDİSLİK MÜMES. TAAHHÜT MAK. VE TİC. LTD. ŞTİ.</x:v>
      </x:c>
      <x:c r="B160" s="3" t="str">
        <x:v>https://www.hidkom.com/</x:v>
      </x:c>
      <x:c r="C160" s="3" t="str">
        <x:v>‎+90 224 243 82 92</x:v>
      </x:c>
      <x:c r="D160" s="3" t="str">
        <x:v>https://www.maktekfuari.com/brand/hidkom-muhendislik-mumes-taahhut-mak-ve-tic-ltd-sti</x:v>
      </x:c>
      <x:c r="E160" s="8" t="str">
        <x:v>Organize San. Böl. 75.Yıl Cad. Demirciler Sitesi B Blok No: 2 Nilüfer</x:v>
      </x:c>
      <x:c r="F160" s="3" t="str">
        <x:v>11</x:v>
      </x:c>
      <x:c r="G160" s="3" t="str">
        <x:v>1156</x:v>
      </x:c>
      <x:c r="H160" s="8"/>
      <x:c r="I160" s="8" t="str">
        <x:v>Best Gmbh; Erwin Halder; Wagner; Neidlein; HWR Spanntechnik GmbH; Roemheld; Hainbuch; ROMAI ROBERT MAIER GMBH; ESA Eppinger GmbH; Norelem</x:v>
      </x:c>
      <x:c r="J160" s="8" t="str">
        <x:v>Hidkom Mühendislik 1997’de kurulmuş olup kuruluşundan günümüze kadar özellikle Hidrolik Bağlama Kalıpları, Fikstürleri, Aparatları konusunda öncü rol oynayarak hidrolik sıkma sistemleri teknolojisinin Türkiye’de bilinmesini ve yaygınlaşmasını sağlamıştır. Firmamız CNC Yatay İşleme merkezleri (HMC) Dik İşleme Merkezleri (VMC), CNC Tornalar, Çok eksenli CNC Tezgâhlar, Özel amaçlı CNC veya Manuel makinalar için hidrolik, mekanik ve elektrikli parça sıkma ve sabitleme çözümleri sunmaktadır. CNC Talaşlı imalat ile ilgili, başta CNC Makina İmalatçıları, Otomotiv Sanayi, Uzay ve Havacılık Sanayi, Medical Endüstrisi, Robotik Endüstrisi, Makina İmalat Sanayi, Savunma Sanayi, Ağır Vasıta ve İş Makinaları Sanayi gibi, birçok sektöre hizmet vermektedir. Satış öncesi ve satış sonrası servis hizmetlerimizde de Türkiye genelinde alanında uzman çalışanlarımız ile maksimum müşteri memnuniyetinin sağlanmasını hedeflemekteyiz.</x:v>
      </x:c>
    </x:row>
    <x:row r="161">
      <x:c r="A161" s="3" t="str">
        <x:v>HİDROLİKSAN HALİM USTA HİDROLİK PRES İML .SAN. TİC.LTD.ŞTİ.</x:v>
      </x:c>
      <x:c r="B161" s="3" t="str">
        <x:v>https://www.hidroliksan.com/</x:v>
      </x:c>
      <x:c r="C161" s="3" t="str">
        <x:v>‎+90 530 956 56 22</x:v>
      </x:c>
      <x:c r="D161" s="3" t="str">
        <x:v>https://www.maktekfuari.com/brand/hidroliksan-halim-usta-hidrolik-pres-iml-san-ticltdsti</x:v>
      </x:c>
      <x:c r="E161" s="8" t="str">
        <x:v>BÜYÜKKAYACIK OSB MAH. 405. SOK. NO: 22</x:v>
      </x:c>
      <x:c r="F161" s="3" t="str">
        <x:v>2</x:v>
      </x:c>
      <x:c r="G161" s="3" t="str">
        <x:v>224</x:v>
      </x:c>
      <x:c r="H161" s="8" t="str">
        <x:v>HİDROLİKSAN</x:v>
      </x:c>
      <x:c r="I161" s="8"/>
      <x:c r="J161" s="8"/>
    </x:row>
    <x:row r="162">
      <x:c r="A162" s="3" t="str">
        <x:v>HİDROPAR BURSA OTOMASYON HİD. PNÖM. MAK. SAN. TİC. A. Ş.</x:v>
      </x:c>
      <x:c r="B162" s="3"/>
      <x:c r="C162" s="3"/>
      <x:c r="D162" s="3" t="str">
        <x:v>https://www.maktekfuari.com/brand/hidropar-bursa-otomasyon-hid-pnom-mak-san-tic-a-s</x:v>
      </x:c>
      <x:c r="E162" s="8"/>
      <x:c r="F162" s="3" t="str">
        <x:v>11</x:v>
      </x:c>
      <x:c r="G162" s="3" t="str">
        <x:v>1131</x:v>
      </x:c>
      <x:c r="H162" s="8"/>
      <x:c r="I162" s="8"/>
      <x:c r="J162" s="8"/>
    </x:row>
    <x:row r="163">
      <x:c r="A163" s="3" t="str">
        <x:v>HİDROPRES MAKİNA SANAYİ VE TİCARET ANONİM ŞİRKETİ</x:v>
      </x:c>
      <x:c r="B163" s="3" t="str">
        <x:v>https://www.hidropres.com.tr/</x:v>
      </x:c>
      <x:c r="C163" s="3" t="str">
        <x:v>‎+90 534 490 02 22</x:v>
      </x:c>
      <x:c r="D163" s="3" t="str">
        <x:v>https://www.maktekfuari.com/brand/hidropres-makina-sanayi-ve-ticaret-anonim-sirketi</x:v>
      </x:c>
      <x:c r="E163" s="8" t="str">
        <x:v>Kestel 2.Sanayi Bölgesi Kale Mh.Yeşilyurt Cd. No:4 Kestel/Bursa/Türkiye</x:v>
      </x:c>
      <x:c r="F163" s="3" t="str">
        <x:v>1</x:v>
      </x:c>
      <x:c r="G163" s="3" t="str">
        <x:v>116</x:v>
      </x:c>
      <x:c r="H163" s="8" t="str">
        <x:v>HİDROPRES</x:v>
      </x:c>
      <x:c r="I163" s="8"/>
      <x:c r="J163" s="8" t="str">
        <x:v>1977 yılında kurulmus¸ olan firmamız eksantrik pres, hidrolik pres, ko¨ru¨k pis¸irme presleri, ko¨ru¨k entegre tesis kurulumunda yılların verdigˆi tecru¨be ve son teknoloji imalat yo¨ntemleri gu¨nu¨mu¨ze kadar hizmet vermis¸ ve vermeye devam etmektedir. 2002 yılında almıs¸ oldugˆu ISO 9001 ve OHSAS 16001 kalite sistemleriyle konusunda uzman kadro ile yurtic¸i ve yurtdıs¸ında otomotiv sekto¨ru¨nde aranan firmalar arasına girmis¸tir. Firmamız 40 tondan 1000 tona kadar mekanik presler, 1000 tona kadar hidrolik presler, abkantlar, ko¨ru¨k imalatında kullanılan vulkanizasyon presleri, kauc¸uk makineleri, test makinaları, ko¨ru¨k yapım makinaları, robotik hatlar, transfer hatları vb. imalatında ve kurulumunda mu¨s¸teri memnuniyeti odaklı c¸alıs¸maktadır.</x:v>
      </x:c>
    </x:row>
    <x:row r="164">
      <x:c r="A164" s="3" t="str">
        <x:v>HIGHTECH Temsilci Firma</x:v>
      </x:c>
      <x:c r="B164" s="3"/>
      <x:c r="C164" s="3" t="str">
        <x:v>‎+90 507 655 95 00</x:v>
      </x:c>
      <x:c r="D164" s="3" t="str">
        <x:v>https://www.maktekfuari.com/brand/hightech</x:v>
      </x:c>
      <x:c r="E164" s="8" t="str">
        <x:v>ISTANBUL</x:v>
      </x:c>
      <x:c r="F164" s="3" t="str">
        <x:v>5</x:v>
      </x:c>
      <x:c r="G164" s="3" t="str">
        <x:v>501A</x:v>
      </x:c>
      <x:c r="H164" s="8"/>
      <x:c r="I164" s="8"/>
      <x:c r="J164" s="8"/>
    </x:row>
    <x:row r="165">
      <x:c r="A165" s="3" t="str">
        <x:v>HİLALSAN MAK. ENDUSTRİYEL VE TİC. LTD. STİ.</x:v>
      </x:c>
      <x:c r="B165" s="3"/>
      <x:c r="C165" s="3"/>
      <x:c r="D165" s="3" t="str">
        <x:v>https://www.maktekfuari.com/brand/hilalsan-mak-endustriyel-ve-tic-ltd-sti</x:v>
      </x:c>
      <x:c r="E165" s="8"/>
      <x:c r="F165" s="3" t="str">
        <x:v>2</x:v>
      </x:c>
      <x:c r="G165" s="3" t="str">
        <x:v>201</x:v>
      </x:c>
      <x:c r="H165" s="8"/>
      <x:c r="I165" s="8"/>
      <x:c r="J165" s="8"/>
    </x:row>
    <x:row r="166">
      <x:c r="A166" s="3" t="str">
        <x:v>HORN TURKEY METAL İŞLEME EKİPMANLARI İTH. VE PAZ. LTD. ŞTİ.</x:v>
      </x:c>
      <x:c r="B166" s="3" t="str">
        <x:v>https://www.horn-group.com/tr/</x:v>
      </x:c>
      <x:c r="C166" s="3" t="str">
        <x:v>‎+90 216 999 18 35</x:v>
      </x:c>
      <x:c r="D166" s="3" t="str">
        <x:v>https://www.maktekfuari.com/brand/horn-turkey-metal-isleme-ekipmanlari-ith-ve-paz-ltd-sti</x:v>
      </x:c>
      <x:c r="E166" s="8" t="str">
        <x:v>Cevizli Mahallesi Mustafa Kemal Paşa Caddesi No: 66 Hukukçular Towers A Blok K: 17 No: 109, 34865 Kartal</x:v>
      </x:c>
      <x:c r="F166" s="3" t="str">
        <x:v>11</x:v>
      </x:c>
      <x:c r="G166" s="3" t="str">
        <x:v>1154B</x:v>
      </x:c>
      <x:c r="H166" s="8" t="str">
        <x:v>ph HORN</x:v>
      </x:c>
      <x:c r="I166" s="8" t="str">
        <x:v>Hartmetall-Werkzeugfabrik Paul Horn GmbH</x:v>
      </x:c>
      <x:c r="J166" s="8" t="str">
        <x:v>Paul Horn GmbH, 1969’dan beri Kanal, Tornalama, Frezeleme, Raybalama, Dişli işleme ve Operasyona Özel Ürün takımları geliştirmekte ve üretmektedir. Ürünlerimiz sanayi ve mühendisliğin her alanında kullanılabilir. 1.500’den fazla çalışanımızla Almanya’da yıllardır pazar ve teknoloji lideriyiz. Ürünlerimiz yüksek performansları ve güvenilirlikleri ile tanınır. Müşterilerimize yüksek performanslı takım sistemlerinin yanı sıra yetkin tavsiye ve hizmetler sunuyoruz. Uluslararası lokasyonlarımız ve ortaklarımızla güvene dayalı iş birliği sayesinde, dünya çapındaki her müşterimize değer katıyoruz. Süreçlerimizi ve ürünlerimizi sürekli geliştirip optimize ediyoruz. HORN’un büyümesi ve müşterilerimizin memnuniyeti, başarımızın kanıtıdır. Yeniliklerde tüm başarı faktörlerini dikkate alırız. Karbür üretiminden kaplama teknolojilerine ve geometri gelişmelerine kadar tüm önemli faktörleri kontrol edebiliriz. Bu kapsamlı bilgi birikimimizle müşterilerimize ekonomik tasarruf sağlar.</x:v>
      </x:c>
    </x:row>
    <x:row r="167">
      <x:c r="A167" s="3" t="str">
        <x:v>İBRAHİM ÜMİT MAKİNA SAN. TİC. LTD. ŞTİ.</x:v>
      </x:c>
      <x:c r="B167" s="3" t="str">
        <x:v>https://umitmakina.com.tr/</x:v>
      </x:c>
      <x:c r="C167" s="3" t="str">
        <x:v>‎+90 507 992 00 00</x:v>
      </x:c>
      <x:c r="D167" s="3" t="str">
        <x:v>https://www.maktekfuari.com/brand/ibrahim-umit-makina-san-tic-ltd-sti</x:v>
      </x:c>
      <x:c r="E167" s="8" t="str">
        <x:v>Büsan Özel Organize San. Kosgeb Cad. No: 4 Karatay, Konya</x:v>
      </x:c>
      <x:c r="F167" s="3" t="str">
        <x:v>7</x:v>
      </x:c>
      <x:c r="G167" s="3" t="str">
        <x:v>716</x:v>
      </x:c>
      <x:c r="H167" s="8" t="str">
        <x:v>SMEC; Z-MAT</x:v>
      </x:c>
      <x:c r="I167" s="8" t="str">
        <x:v>SMEC Co. LTD</x:v>
      </x:c>
      <x:c r="J167" s="8" t="str">
        <x:v>CNC Takım Tezgahları SMEC Türkiye Distribütörü</x:v>
      </x:c>
    </x:row>
    <x:row r="168">
      <x:c r="A168" s="3" t="str">
        <x:v>İCON CNC MAKİNA TEKNOLOJİLERİ SANAYİ VE TİCARET LİMİTED ŞİRKETİ</x:v>
      </x:c>
      <x:c r="B168" s="3" t="str">
        <x:v>https://www.iconcnc.com.tr</x:v>
      </x:c>
      <x:c r="C168" s="3" t="str">
        <x:v>‎+90 544 821 35 29</x:v>
      </x:c>
      <x:c r="D168" s="3" t="str">
        <x:v>https://www.maktekfuari.com/brand/icon-cnc-makina-teknolojileri-sanayi-ve-ticaret-limited-sirketi</x:v>
      </x:c>
      <x:c r="E168" s="8" t="str">
        <x:v>Bahçeşehir 2. Kısım mah. Mercedes Blv. A Blok 30/E Başakşehir/istanbul</x:v>
      </x:c>
      <x:c r="F168" s="3" t="str">
        <x:v>11A</x:v>
      </x:c>
      <x:c r="G168" s="3" t="str">
        <x:v>13</x:v>
      </x:c>
      <x:c r="H168" s="8"/>
      <x:c r="I168" s="8"/>
      <x:c r="J168" s="8"/>
    </x:row>
    <x:row r="169">
      <x:c r="A169" s="3" t="str">
        <x:v>İDEAL MAKİNA END. ÜRÜN. SAN. VE TİC. A.Ş.</x:v>
      </x:c>
      <x:c r="B169" s="3" t="str">
        <x:v>http://www.idealmakina.com</x:v>
      </x:c>
      <x:c r="C169" s="3" t="str">
        <x:v>‎+90 216 540 88 55</x:v>
      </x:c>
      <x:c r="D169" s="3" t="str">
        <x:v>https://www.maktekfuari.com/brand/ideal-makina-end-urun-san-ve-tic-as</x:v>
      </x:c>
      <x:c r="E169" s="8" t="str">
        <x:v>Esenkent Mah. Natoyolu Cad. No: 277 34776 Ümraniye</x:v>
      </x:c>
      <x:c r="F169" s="3" t="str">
        <x:v>2</x:v>
      </x:c>
      <x:c r="G169" s="3" t="str">
        <x:v>216</x:v>
      </x:c>
      <x:c r="H169" s="8"/>
      <x:c r="I169" s="8"/>
      <x:c r="J169" s="8" t="str">
        <x:v>2004 yılında İstanbul’da kurulan İdeal Makina A.Ş.; akışkan sıvı transferi, gaz jeneratörleri ve basınçlı hava uygulamalarında kullanılan tüm endüstriyel blower ve pompalar, azot – oksijen – hidrojen jeneratörleri ve kompresörler ile tamamlayıcı ekipman ve sistemler alanındaki uzmanlığı, bilgi birikimi ve satış sonrası servis ve bakım hizmetleriyle, sektörün öncü firmalarından biri olmuştur.</x:v>
      </x:c>
    </x:row>
    <x:row r="170">
      <x:c r="A170" s="3" t="str">
        <x:v>İĞREK MAKİNA SANAYİ VE TİC. A. Ş.</x:v>
      </x:c>
      <x:c r="B170" s="3" t="str">
        <x:v>https://www.igrek.com.tr/</x:v>
      </x:c>
      <x:c r="C170" s="3" t="str">
        <x:v>‎0902 242 43 16</x:v>
      </x:c>
      <x:c r="D170" s="3" t="str">
        <x:v>https://www.maktekfuari.com/brand/igrek-makina-sanayi-ve-tic-a-s</x:v>
      </x:c>
      <x:c r="E170" s="8" t="str">
        <x:v>OSB A. O. Sönmez Blv. No :10 16140</x:v>
      </x:c>
      <x:c r="F170" s="3" t="str">
        <x:v>12</x:v>
      </x:c>
      <x:c r="G170" s="3" t="str">
        <x:v>1201</x:v>
      </x:c>
      <x:c r="H170" s="8" t="str">
        <x:v>İğrek Makina</x:v>
      </x:c>
      <x:c r="I170" s="8"/>
      <x:c r="J170" s="8" t="str">
        <x:v>1946 yılında Bursa’da kurulan İğrek Makina, köklü döküm ve imalat tecrübesini ileri mühendislik ile harmanlayarak yüksek performanslı CNC takım tezgâhları geliştirmektedir. Şirketin ana ürün grubunu; tamamı döküm gövdeli 5 eksen köprü tipi portal tezgâhlar, freze-torna işleme merkezleri ve özel büyük parça işleme tezgâhları oluşturmaktadır. Tasarımlarında yüksek rijitlik, termal stabilite, hassasiyet ve uzun ömür kriterlerini esas alan firma; kendi bünyesindeki modelhane, dökümhane, talaşlı imalat ve montaj kabiliyetleri sayesinde tüm süreci tek çatı altında yönetmektedir. Siemens, Heidenhain ve Fanuc gibi global kontrol sistemleriyle tam uyumlu çözümler sunan İğrek Makina, bugün 50.000 m² kapalı alanda ağır sanayi için güvenilir bir çözüm ortağıdır. Ar-Ge odaklı vizyonunu güçlendiren şirket, Mustafakemalpaşa OSB’deki 150.000 m²’lik yeni fabrikasını 2026 yılında devreye alarak üretim kapasitesini devasa bir ölçeğe taşımayı ve küresel rekabetteki gücünü pekiştirmeyi hedeflemektedir.</x:v>
      </x:c>
    </x:row>
    <x:row r="171">
      <x:c r="A171" s="3" t="str">
        <x:v>İHSAN KOÇAK MAKİNA SANAYİ VE TİCARET A.Ş.</x:v>
      </x:c>
      <x:c r="B171" s="3" t="str">
        <x:v>https://www.ihsankocak.com.tr/</x:v>
      </x:c>
      <x:c r="C171" s="3" t="str">
        <x:v>‎+90 530 312 53 88</x:v>
      </x:c>
      <x:c r="D171" s="3" t="str">
        <x:v>https://www.maktekfuari.com/brand/ihsan-kocak-makina-sanayi-ve-ticaret-as</x:v>
      </x:c>
      <x:c r="E171" s="8" t="str">
        <x:v>Fevzi Çakmak Mah. Aslım Cad. No: 76 PK: 42050</x:v>
      </x:c>
      <x:c r="F171" s="3" t="str">
        <x:v>8</x:v>
      </x:c>
      <x:c r="G171" s="3" t="str">
        <x:v>812</x:v>
      </x:c>
      <x:c r="H171" s="8" t="str">
        <x:v>Dirinler; HONOR; DOWELL; OZCO; NIDEC; OKK; Nakamura-Tome; CAMPRO</x:v>
      </x:c>
      <x:c r="I171" s="8" t="str">
        <x:v>CAMPRO; NIDEC CORPORATION; DOWELL - TONG YI MACHINERY INC.; HONOR; OKK CORPORATION; NAKAMURA-TOME PRECISION INDUSTRY CO., LTD.</x:v>
      </x:c>
      <x:c r="J171" s="8" t="str">
        <x:v>İhsan Koçak Makina San. ve Tic. A.Ş., 1929’dan bu yana üretim sanayine yüksek teknoloji makineler sunan köklü bir firmadır. 20.200 m² kapalı alana sahip modern tesisimizde, özellikle CNC dik işleme merkezleri, fiber lazer kesim makineleri, şerit testere sistemleri, plazma kesim hatları, otomatik yükleme-boşaltma sistemleri ve endüstriyel otomasyon çözümleri sunmaktayız. Talaşlı imalat ve sac işleme sektörlerine yönelik sunduğumuz makineler; yüksek hassasiyet, uzun ömür ve üretim verimliliği odaklıdır. Temsilciliğini yürüttüğümüz global markalarla birlikte, sadece ürün değil; uygulama mühendisliği, devreye alma, operatör eğitimi ve teknik servis hizmetlerini de bir arada sağlıyoruz. 60 kişilik teknik ekibimiz ve Türkiye genelindeki yaygın servis ağımızla, üretim süreçlerinde güçlü ve kalıcı çözümler sunuyoruz. CNC teknolojisinde uzman, makineyle büyüyen sanayinin çözüm ortağıyız.</x:v>
      </x:c>
    </x:row>
    <x:row r="172">
      <x:c r="A172" s="3" t="str">
        <x:v>İMAŞ MAKİNE SAN. A.Ş.</x:v>
      </x:c>
      <x:c r="B172" s="3"/>
      <x:c r="C172" s="3"/>
      <x:c r="D172" s="3" t="str">
        <x:v>https://www.maktekfuari.com/brand/imas-makine-san-as</x:v>
      </x:c>
      <x:c r="E172" s="8"/>
      <x:c r="F172" s="3" t="str">
        <x:v>2</x:v>
      </x:c>
      <x:c r="G172" s="3" t="str">
        <x:v>206</x:v>
      </x:c>
      <x:c r="H172" s="8"/>
      <x:c r="I172" s="8"/>
      <x:c r="J172" s="8"/>
    </x:row>
    <x:row r="173">
      <x:c r="A173" s="3" t="str">
        <x:v>INDUCTOTHERM İNDÜKSİYON SİSTEMLERİ SAN AŞ</x:v>
      </x:c>
      <x:c r="B173" s="3" t="str">
        <x:v>https://inductotherm.com</x:v>
      </x:c>
      <x:c r="C173" s="3" t="str">
        <x:v>‎+90 262 676 79 00</x:v>
      </x:c>
      <x:c r="D173" s="3" t="str">
        <x:v>https://www.maktekfuari.com/brand/inductotherm-induksiyon-sistemleri-san-as</x:v>
      </x:c>
      <x:c r="E173" s="8" t="str">
        <x:v>Muallimköy Mah. Aşağıbağlar Cd. No:41 Gebze/KOCAELİ</x:v>
      </x:c>
      <x:c r="F173" s="3" t="str">
        <x:v>1</x:v>
      </x:c>
      <x:c r="G173" s="3" t="str">
        <x:v>104B</x:v>
      </x:c>
      <x:c r="H173" s="8" t="str">
        <x:v>INDUCTOTHERM GROUP</x:v>
      </x:c>
      <x:c r="I173" s="8"/>
      <x:c r="J173" s="8" t="str">
        <x:v>Inductotherm İndüksiyon Sistemleri Sanayi A.Ş Dünyanın en büyük indüksiyon sistemleri imalatçısı olan Inductotherm Grub ‘un alt şirketi olup, 1990 yılından bu yana Türkiye’de faaliyet göstermektedir. Şirketimiz indüksiyon sistemleri üretimi, onarımı ve servis hizmeti alanında faaliyet göstermektedir. Inductotherm İndüksiyon Sistemleri Sanayi A.Ş. ayrıca grup şirketleri, Orta Doğu, Balkanlar, Kuzey ülkeleri ve Türki Cumhuriyetlere ihracat yapmaktadır.</x:v>
      </x:c>
    </x:row>
    <x:row r="174">
      <x:c r="A174" s="3" t="str">
        <x:v>İNGENİUM MAKİNE LİMİTED ŞİRKETİ</x:v>
      </x:c>
      <x:c r="B174" s="3" t="str">
        <x:v>https://www.ingeniummakine.com.tr/</x:v>
      </x:c>
      <x:c r="C174" s="3" t="str">
        <x:v>‎+90 555 588 21 20</x:v>
      </x:c>
      <x:c r="D174" s="3" t="str">
        <x:v>https://www.maktekfuari.com/brand/ingenium-makine-limited-sirketi</x:v>
      </x:c>
      <x:c r="E174" s="8" t="str">
        <x:v>Hanlı Sakarya, Açık Cad A Blok, No : 2AE, 54580 Arifiye/Sakarya</x:v>
      </x:c>
      <x:c r="F174" s="3" t="str">
        <x:v>12A</x:v>
      </x:c>
      <x:c r="G174" s="3" t="str">
        <x:v>49A</x:v>
      </x:c>
      <x:c r="H174" s="8"/>
      <x:c r="I174" s="8"/>
      <x:c r="J174" s="8" t="str">
        <x:v>İNGENİUM MAKİNE LİMİTED ŞİRKETİ, Sakarya merkezli olarak tel erozyon makineleri ile yüksek hassasiyetli kesici takım ölçme ve ayarlama makineleri tedarik etmektedir. Üretim süreçlerinize yönelik basit ama etkili mühendislik çözümleri sunmayı amaçlıyoruz.</x:v>
      </x:c>
    </x:row>
    <x:row r="175">
      <x:c r="A175" s="3" t="str">
        <x:v>İNKOR TEKNİK HIRDAVAT İÇ VE DIŞ TİC. LTD. ŞTİ.</x:v>
      </x:c>
      <x:c r="B175" s="3"/>
      <x:c r="C175" s="3"/>
      <x:c r="D175" s="3" t="str">
        <x:v>https://www.maktekfuari.com/brand/inkor-teknik-hirdavat-ic-ve-dis-tic-ltd-sti</x:v>
      </x:c>
      <x:c r="E175" s="8"/>
      <x:c r="F175" s="3" t="str">
        <x:v>12A</x:v>
      </x:c>
      <x:c r="G175" s="3" t="str">
        <x:v>21</x:v>
      </x:c>
      <x:c r="H175" s="8"/>
      <x:c r="I175" s="8"/>
      <x:c r="J175" s="8"/>
    </x:row>
    <x:row r="176">
      <x:c r="A176" s="3" t="str">
        <x:v>İNMAK MAKİNA SANAYİ VE TİC A.Ş</x:v>
      </x:c>
      <x:c r="B176" s="3" t="str">
        <x:v>https://www.inmak.com.tr</x:v>
      </x:c>
      <x:c r="C176" s="3" t="str">
        <x:v>‎+90 216 444 37 91</x:v>
      </x:c>
      <x:c r="D176" s="3" t="str">
        <x:v>https://www.maktekfuari.com/brand/inmak-makina-sanayi-ve-tic-as</x:v>
      </x:c>
      <x:c r="E176" s="8" t="str">
        <x:v>ŞERİFALİ MH. BEYAN SOK. NO:32/1 İSTANBUL</x:v>
      </x:c>
      <x:c r="F176" s="3" t="str">
        <x:v>7</x:v>
      </x:c>
      <x:c r="G176" s="3" t="str">
        <x:v>705</x:v>
      </x:c>
      <x:c r="H176" s="8" t="str">
        <x:v>MECTRON; MIYANO; CITIZEN</x:v>
      </x:c>
      <x:c r="I176" s="8" t="str">
        <x:v>MECTRON INC; MIYANO MACHINERY; CITIZEN MACHINERY CO LTD</x:v>
      </x:c>
      <x:c r="J176" s="8" t="str">
        <x:v>1990 yılında kurulmuş olan firma , CNC Takım Tezgahları ithalatı , satış ve satış sonrası hizmetlerini vermektedir. Daima en kaliteli ve kazançlı ürünleri sizlere sunmayı ilke edinmiş olan İnmak Makine, farklı sektörlerde müşteriler edinerek tüm sanayi dallarında ülke gelişimine katkı sağlamaktadır. Kuruluşundan bu yana kendini sürekli geliştirmiş olan uzman ekibi sayesinde müşterilerine ticari ve teknik anlamda kusursuz teknik destek sağlayarak konusunda lider firmalar içinde yer almıştır. Merkez ofisi İstanbul- Ümraniye ’de bulunan firma 35 kişilik deneyimli kadrosu ile İstanbul ve Bursa bölgelerinde bağımsız satış &amp; servis ekipleri kurarak müşterilerin tüm taleplerine hızlı ve hazır bir biçimde cevap verebilmektedir. İNMAK Makine siz değerli müşterilerinin desteği ve inancı sayesinde mümessili bulunduğu firmalardan ödül alarak , başarının ve azmin haklı gururunu yaşamaktadır.</x:v>
      </x:c>
    </x:row>
    <x:row r="177">
      <x:c r="A177" s="3" t="str">
        <x:v>İNOVASYON CNC MAKİNA SANAYİ VE TİCARET LİMİTED ŞİRKETİ</x:v>
      </x:c>
      <x:c r="B177" s="3" t="str">
        <x:v>https://www.inovasyoncnc.com</x:v>
      </x:c>
      <x:c r="C177" s="3" t="str">
        <x:v>‎+90 532 601 99 19</x:v>
      </x:c>
      <x:c r="D177" s="3" t="str">
        <x:v>https://www.maktekfuari.com/brand/inovasyon-cnc-makina-sanayi-ve-ticaret-limited-sirketi</x:v>
      </x:c>
      <x:c r="E177" s="8" t="str">
        <x:v>İMES SAN.SİT. A BLOK 107 SOK. NO:12 ÜMRANİYE İSTANBUL</x:v>
      </x:c>
      <x:c r="F177" s="3" t="str">
        <x:v>12</x:v>
      </x:c>
      <x:c r="G177" s="3" t="str">
        <x:v>1234</x:v>
      </x:c>
      <x:c r="H177" s="8"/>
      <x:c r="I177" s="8" t="str">
        <x:v>DONGGUAN BAOKE PRECISION MACHINERY CO LTD.</x:v>
      </x:c>
      <x:c r="J177" s="8"/>
    </x:row>
    <x:row r="178">
      <x:c r="A178" s="3" t="str">
        <x:v>INTEGRAL TAKIM TEZGAHLARI CNC MAKINA VE TEKNOLOJİ ÇÖZÜMLERİ LTD. ŞTİ.</x:v>
      </x:c>
      <x:c r="B178" s="3" t="str">
        <x:v>https://integralteknoloji.com/</x:v>
      </x:c>
      <x:c r="C178" s="3" t="str">
        <x:v>‎+90 216 706 87 97</x:v>
      </x:c>
      <x:c r="D178" s="3" t="str">
        <x:v>https://www.maktekfuari.com/brand/integral-takim-tezgahlari-cnc-makina-ve-teknoloji-cozumleri-ltd-sti</x:v>
      </x:c>
      <x:c r="E178" s="8" t="str">
        <x:v>Girne Mah. Girne Cad. Dadaş Plaza. No: 129 Kat: 2 34852 Maltepe</x:v>
      </x:c>
      <x:c r="F178" s="3" t="str">
        <x:v>12</x:v>
      </x:c>
      <x:c r="G178" s="3" t="str">
        <x:v>1236</x:v>
      </x:c>
      <x:c r="H178" s="8" t="str">
        <x:v>MURATEC</x:v>
      </x:c>
      <x:c r="I178" s="8" t="str">
        <x:v>HWACHEON</x:v>
      </x:c>
      <x:c r="J178" s="8"/>
    </x:row>
    <x:row r="179">
      <x:c r="A179" s="3" t="str">
        <x:v>ISITAN MAKİNE SANAYİ VE TİC. A. Ş.</x:v>
      </x:c>
      <x:c r="B179" s="3"/>
      <x:c r="C179" s="3" t="str">
        <x:v>‎+90 534 883 18 02</x:v>
      </x:c>
      <x:c r="D179" s="3" t="str">
        <x:v>https://www.maktekfuari.com/brand/isitan-makine-sanayi-ve-tic-a-s</x:v>
      </x:c>
      <x:c r="E179" s="8" t="str">
        <x:v>Kayapa Mh. Kayapa Sanayi Bulvarı Şahinler Blok No:23 16315 Nilüfer/Bursa</x:v>
      </x:c>
      <x:c r="F179" s="3" t="str">
        <x:v>2</x:v>
      </x:c>
      <x:c r="G179" s="3" t="str">
        <x:v>213</x:v>
      </x:c>
      <x:c r="H179" s="8"/>
      <x:c r="I179" s="8"/>
      <x:c r="J179" s="8" t="str">
        <x:v>1959 Yılında BURSA’da küçük bir atölye olarak kurulan ISITAN MAKİNA, 1970 yılına kadar binlerce adet Kordon ve Silindir Makinesi üretmi ve sobacılara, havalandırmacı ve davlumbaz imalatçılarna ve muhtelif sac-kaporta işleri yapan firmalara satılmıştlr. Türkiye’de halen birçok firma günümüzde dahi, o yıllarda satın aldığı makineleri kullanmaktadır. 1970 ve 1980 arasında ISITAN MAKİNA üretimine büyük tip piramit silindir makinelerinin yanında yeni model Kordon Makineleri, Daire Kesme Makasları ve Sıvama Makineleri gibi ürünleri de eklemiş ve 1996 yılında yeniden yapılanarak ilk ihracatını gerceklştirmiştir. 1959 yılından günümüze kadarki dönem içersinde, müşterilerine verdiği deger ve destek ile büyüyen ISITAN MAKİNA şu anda 15.000 m2 kapalı alanda 120 çalışan ile ticari faaliyetlerini sürdürmektedir.</x:v>
      </x:c>
    </x:row>
    <x:row r="180">
      <x:c r="A180" s="3" t="str">
        <x:v>İSTANBUL MAKİNA VE OTOM. SİSTEMLERİ SAN. TİC. A.Ş.</x:v>
      </x:c>
      <x:c r="B180" s="3" t="str">
        <x:v>https://www.istanbulmakina.com.tr/</x:v>
      </x:c>
      <x:c r="C180" s="3" t="str">
        <x:v>‎+90 216 526 65 00</x:v>
      </x:c>
      <x:c r="D180" s="3" t="str">
        <x:v>https://www.maktekfuari.com/brand/istanbul-makina-ve-otom-sistemleri-san-tic-as</x:v>
      </x:c>
      <x:c r="E180" s="8" t="str">
        <x:v>Dudullu OSB, B-203 Sk. No:7, 34775 Ümraniye/İstanbul</x:v>
      </x:c>
      <x:c r="F180" s="3" t="str">
        <x:v>7</x:v>
      </x:c>
      <x:c r="G180" s="3" t="str">
        <x:v>701</x:v>
      </x:c>
      <x:c r="H180" s="8" t="str">
        <x:v>Arion</x:v>
      </x:c>
      <x:c r="I180" s="8"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c r="J180" s="8" t="str">
        <x:v>İstanbul Makina firması 1992 yılının Kasım ayında İstanbul da kurulmuştur. Kurulum amacı Türkiye’de CNC Takım tezgahlarının Satış ve Satış sonrası hizmetlerini yürütmektir. Bugün 100 kişiyi aşan deneyimli kadrosu ile CNC Takım tezgahları konusunda İstanbul , Bursa , İzmir , Ankara , Konya, Adana ve Eskişehir’de satış ve satış sonrası hizmetler gerçekleştirmektedir.</x:v>
      </x:c>
    </x:row>
    <x:row r="181">
      <x:c r="A181" s="3" t="str">
        <x:v>JIUXUN HASSAS MAKİNE SANAYİ LİMİTED ŞİRKETİ</x:v>
      </x:c>
      <x:c r="B181" s="3"/>
      <x:c r="C181" s="3" t="str">
        <x:v>‎+90 536 030 90 88</x:v>
      </x:c>
      <x:c r="D181" s="3" t="str">
        <x:v>https://www.maktekfuari.com/brand/jiuxun-hassas-makine-sanayi-limited-sirketi</x:v>
      </x:c>
      <x:c r="E181" s="8" t="str">
        <x:v>Fevzi Çakmak Mah. Ahmet Petekçi Cad. Global Sanayi Sitesi No:2</x:v>
      </x:c>
      <x:c r="F181" s="3" t="str">
        <x:v>12A</x:v>
      </x:c>
      <x:c r="G181" s="3" t="str">
        <x:v>46</x:v>
      </x:c>
      <x:c r="H181" s="8" t="str">
        <x:v>JIUXUN</x:v>
      </x:c>
      <x:c r="I181" s="8"/>
      <x:c r="J181" s="8"/>
    </x:row>
    <x:row r="182">
      <x:c r="A182" s="3" t="str">
        <x:v>JOKER KESİCİ TAKIMLAR SAN. VE TİC. LTD. ŞTİ.</x:v>
      </x:c>
      <x:c r="B182" s="3" t="str">
        <x:v>https://Joker Kesici takımlar Sanayii ve tic ltd</x:v>
      </x:c>
      <x:c r="C182" s="3" t="str">
        <x:v>‎+90 262 658 26 38</x:v>
      </x:c>
      <x:c r="D182" s="3" t="str">
        <x:v>https://www.maktekfuari.com/brand/joker-kesici-takimlar-san-ve-tic-ltd-sti</x:v>
      </x:c>
      <x:c r="E182" s="8" t="str">
        <x:v>Şekerpınar mah. Anadolu cad no:8/F Çayırova/Kocaeli</x:v>
      </x:c>
      <x:c r="F182" s="3" t="str">
        <x:v>11</x:v>
      </x:c>
      <x:c r="G182" s="3" t="str">
        <x:v>1140</x:v>
      </x:c>
      <x:c r="H182" s="8"/>
      <x:c r="I182" s="8"/>
      <x:c r="J182" s="8"/>
    </x:row>
    <x:row r="183">
      <x:c r="A183" s="3" t="str">
        <x:v>KAHRAMAN KALIP ELEKTRİK VE ELEKTRONİK DONANIMLARI SAN. TİC. LTD. ŞTİ.</x:v>
      </x:c>
      <x:c r="B183" s="3" t="str">
        <x:v>https://www.kahramankalip.com.tr</x:v>
      </x:c>
      <x:c r="C183" s="3" t="str">
        <x:v>‎+90 544 687 17 16</x:v>
      </x:c>
      <x:c r="D183" s="3" t="str">
        <x:v>https://www.maktekfuari.com/brand/kahraman-kalip-elektrik-ve-elektronik-donanimlari-san-tic-ltd-sti</x:v>
      </x:c>
      <x:c r="E183" s="8" t="str">
        <x:v>IOSB Mah, Metal-İş Sanayi Sitesi 16.Blok No:8</x:v>
      </x:c>
      <x:c r="F183" s="3" t="str">
        <x:v>12A</x:v>
      </x:c>
      <x:c r="G183" s="3" t="str">
        <x:v>49C</x:v>
      </x:c>
      <x:c r="H183" s="8"/>
      <x:c r="I183" s="8" t="str">
        <x:v>HOWFIT SCIENCE AND TECHNOLOGY CO.LTD.</x:v>
      </x:c>
      <x:c r="J183" s="8" t="str">
        <x:v>Şirketimiz KAHRAMAN KALIP ELEKTRİK ELEKTRONİK DONANIMLARI SAN. TİC. LTD. ŞTİ. (KKEED), müşterilerinin talepleri doğrultusunda plastik ve metal elektrik-elektronik komponent imalatı yapan ve aynı zamanda yeni ürün tasarımı gerçekleştirebilen bir firmadır. Firmamız; beyaz eşya, otomotiv, elektrik-elektronik, savunma sanayi ve enerji sektörlerine, 30’u aşkın çalışanı, sürekli modernize edilen tasarım ve makine parkuru ile 1.600 m² kapalı alanda hizmet vermektedir. Şirketimizin Ar-Ge biriminde, müşteri taleplerine uygun olarak tasarlanan ürünler; kalıp biriminde progresif saç kalıbı ve plastik enjeksiyon kalıbı olarak imal edilmektedir. Bu kalıplar kullanılarak preshane ve enjeksiyon birimlerinde nihai ürün elde edilmektedir. Bunun yanında, bazı ürünler montaj biriminde çeşitli proseslerden geçirilerek yarı mamul ve/veya mamul hâle getirilmektedir. ISO 9001:2015 Kalite Yönetim Sistemi ve ISO 14001:2015 Çevre Yönetim Sistemi sertifikalarımız bulunmaktadır.</x:v>
      </x:c>
    </x:row>
    <x:row r="184">
      <x:c r="A184" s="3" t="str">
        <x:v>KALİP TEKNİK KESİCİ TAKIMLAR VE MAKİNA SANAYİ TİCARET LİMİTED ŞİRKETİ</x:v>
      </x:c>
      <x:c r="B184" s="3" t="str">
        <x:v>https://KALİP TEKNİK KESİCİ TAKIMLAR VE MAKİNA SAN.TİC.LTD.ŞTİ.</x:v>
      </x:c>
      <x:c r="C184" s="3" t="str">
        <x:v>‎+90 534 425 30 43</x:v>
      </x:c>
      <x:c r="D184" s="3" t="str">
        <x:v>https://www.maktekfuari.com/brand/kalip-teknik-kesici-takimlar-ve-makina-sanayi-ticaret-limited-sirketi</x:v>
      </x:c>
      <x:c r="E184" s="8" t="str">
        <x:v>İ.O.S.B. TORMAK SAN. SİT. SOSYAL TESİSLER A BLOK No: 2 34490 BAŞAKŞEHİR/ İSTANBUL</x:v>
      </x:c>
      <x:c r="F184" s="3" t="str">
        <x:v>12A</x:v>
      </x:c>
      <x:c r="G184" s="3" t="str">
        <x:v>25</x:v>
      </x:c>
      <x:c r="H184" s="8" t="str">
        <x:v>HANSONG M&amp;T CO.; LTD.; DIJET INDUSTRIAL CO.; LTD; NACHREINER – SPANABHEBENDE WERKZEUGE; Ann Way Machine Tools Co.; Ltd.</x:v>
      </x:c>
      <x:c r="I184" s="8" t="str">
        <x:v>HANSONG M&amp;T Co., Ltd.; Ann Way Machine Tools Co., Ltd.; NACHREINER – SPANABHEBENDE WERKZEUGE; DIJET INDUSTRIAL CO., LTD</x:v>
      </x:c>
      <x:c r="J184" s="8" t="str">
        <x:v>2004 yılında kesici takımlar sektöründe başlayan tecrübemizi, 2011 yılında kurduğumuz KALIP TEKNİK ile kurumsal bir yapıya taşıdık. Bugün, yerli ve ithal yüksek kaliteli kesici takım çözümleri ile mühendislik desteğini bir araya getirerek; makine, kalıp, otomotiv, savunma, havacılık ve üretim sektörlerine yenilikçi, güvenilir ve müşteri odaklı hizmet sunuyoruz.</x:v>
      </x:c>
    </x:row>
    <x:row r="185">
      <x:c r="A185" s="3" t="str">
        <x:v>KAMSAN METAL ELEKT. MAK. SAN. VE TİC. LTD. ŞTİ.</x:v>
      </x:c>
      <x:c r="B185" s="3" t="str">
        <x:v>http://www.kamsanmakina.com/</x:v>
      </x:c>
      <x:c r="C185" s="3" t="str">
        <x:v>‎+90 224 261 61 70</x:v>
      </x:c>
      <x:c r="D185" s="3" t="str">
        <x:v>https://www.maktekfuari.com/brand/kamsan-metal-elekt-mak-san-ve-tic-ltd-sti</x:v>
      </x:c>
      <x:c r="E185" s="8" t="str">
        <x:v>Demirtaş OSB Fesleğen Sok. No: 14</x:v>
      </x:c>
      <x:c r="F185" s="3" t="str">
        <x:v>10</x:v>
      </x:c>
      <x:c r="G185" s="3" t="str">
        <x:v>1010</x:v>
      </x:c>
      <x:c r="H185" s="8"/>
      <x:c r="I185" s="8"/>
      <x:c r="J185" s="8" t="str">
        <x:v>Kamsan 1958 yılında Bursa Kapalıçarşı’da bir torna atölyesi olarak kuruldu. Kurucumuz Nihat Kahyaoğlu’nun 1975’teki vefatına kadar hızla gelişerek Bursa’nın önde gelen sanayi kuruluşları arasına girdi. 90’lı yıllarda imalat yelpazesine NC Otomat ve çubuk sürücü çeşitleri de ekleyip başta Almanya olmak üzere çeşitli ülkelere ihracat yapmaya başladı. Günümüzde Demirtaş Organize Sanayi’de 3200 m² modern fabrikasında 65 yıllık tecrübesi ve modern imalat teknikleri ile CNC tornalar için çubuk sürücü üretmeye, sürekli gelişerek ülke teknolojisine katkı sağlamaya devam etmektedir. Makine kalitesi, sağlamlık, satış sonrası hizmet ve verdiği güvenle Kamsan, ülkemizde kendi alanında lider markadır.</x:v>
      </x:c>
    </x:row>
    <x:row r="186">
      <x:c r="A186" s="3" t="str">
        <x:v>KAR METAL MAKİNE SANAYİ VE TİCARET ANONİM ŞİRKETİ</x:v>
      </x:c>
      <x:c r="B186" s="3" t="str">
        <x:v>https://www.karmetal.com.tr/</x:v>
      </x:c>
      <x:c r="C186" s="3" t="str">
        <x:v>‎+90 505 803 71 04</x:v>
      </x:c>
      <x:c r="D186" s="3" t="str">
        <x:v>https://www.maktekfuari.com/brand/kar-metal-makine-sanayi-ve-ticaret-anonim-sirketi</x:v>
      </x:c>
      <x:c r="E186" s="8" t="str">
        <x:v>1. OSB MAH. 10. CAD. NO: 11 ARİFİYE</x:v>
      </x:c>
      <x:c r="F186" s="3" t="str">
        <x:v>1</x:v>
      </x:c>
      <x:c r="G186" s="3" t="str">
        <x:v>101</x:v>
      </x:c>
      <x:c r="H186" s="8"/>
      <x:c r="I186" s="8"/>
      <x:c r="J186" s="8"/>
    </x:row>
    <x:row r="187">
      <x:c r="A187" s="3" t="str">
        <x:v>KAR-TES KESİCİ TAKIMLAR SAN.VE TİC.LTD.ŞTİ.</x:v>
      </x:c>
      <x:c r="B187" s="3" t="str">
        <x:v>https://kar-tes.com.tr</x:v>
      </x:c>
      <x:c r="C187" s="3" t="str">
        <x:v>‎+90 212 451 95 56</x:v>
      </x:c>
      <x:c r="D187" s="3" t="str">
        <x:v>https://www.maktekfuari.com/brand/kar-tes-kesici-takimlar-sanve-ticltdsti</x:v>
      </x:c>
      <x:c r="E187" s="8" t="str">
        <x:v>İSTASYON MH. YARIŞ ÇIKMAZI SK. İSTİM SANAYİ SİTESİ B BLOK NO:1/4 TUZLA-İSTANBUL PK: 34940</x:v>
      </x:c>
      <x:c r="F187" s="3" t="str">
        <x:v>11</x:v>
      </x:c>
      <x:c r="G187" s="3" t="str">
        <x:v>1151</x:v>
      </x:c>
      <x:c r="H187" s="8"/>
      <x:c r="I187" s="8" t="str">
        <x:v>Robert Röntgen GmbH &amp; Co. KG; JULIA UTENSILI SRL; KANEFUSA CORPORATION</x:v>
      </x:c>
      <x:c r="J187" s="8"/>
    </x:row>
    <x:row r="188">
      <x:c r="A188" s="3" t="str">
        <x:v>KASERSAN LAZER SARF MALZEMELERİ - EMİRHAN KAĞAN DAĞLI</x:v>
      </x:c>
      <x:c r="B188" s="3" t="str">
        <x:v>https://www.kasersan.com</x:v>
      </x:c>
      <x:c r="C188" s="3" t="str">
        <x:v>‎+90 551 591 06 06</x:v>
      </x:c>
      <x:c r="D188" s="3" t="str">
        <x:v>https://www.maktekfuari.com/brand/kasersan-lazer-sarf-malzemeleri-emirhan-kagan-dagli</x:v>
      </x:c>
      <x:c r="E188" s="8" t="str">
        <x:v>Saray Mah. 3200. Cad NO :15 F Kahramankazan / Ankara</x:v>
      </x:c>
      <x:c r="F188" s="3" t="str">
        <x:v>12A</x:v>
      </x:c>
      <x:c r="G188" s="3" t="str">
        <x:v>57A</x:v>
      </x:c>
      <x:c r="H188" s="8" t="str">
        <x:v>Kasersan</x:v>
      </x:c>
      <x:c r="I188" s="8"/>
      <x:c r="J188" s="8" t="str">
        <x:v>Firmamız, fiber lazer kesim makineleri ekipmanları ve sarf malzemeleri satışında kaliteli ve güvenilir çözümler sunmaktadır. Ayrıca lazer kesim sonrası oluşan çapak ve keskin kenarların giderilmesi için zımpara / çapak alma makineleri tedarik etmekteyiz. Üretim kalitesini artıran, iş gücünü hızlandıran profesyonel çözümlerimizle müşterilerimize satış öncesi ve sonrası destek sağlıyoruz.</x:v>
      </x:c>
    </x:row>
    <x:row r="189">
      <x:c r="A189" s="3" t="str">
        <x:v>KAYA YILDIZI ELEKTRONİK PAZ. SAN. VE TİC. LTD. ŞTİ.</x:v>
      </x:c>
      <x:c r="B189" s="3"/>
      <x:c r="C189" s="3"/>
      <x:c r="D189" s="3" t="str">
        <x:v>https://www.maktekfuari.com/brand/kaya-yildizi-elektronik-paz-san-ve-tic-ltd-sti</x:v>
      </x:c>
      <x:c r="E189" s="8"/>
      <x:c r="F189" s="3" t="str">
        <x:v>11A</x:v>
      </x:c>
      <x:c r="G189" s="3" t="str">
        <x:v>52</x:v>
      </x:c>
      <x:c r="H189" s="8"/>
      <x:c r="I189" s="8"/>
      <x:c r="J189" s="8"/>
    </x:row>
    <x:row r="190">
      <x:c r="A190" s="3" t="str">
        <x:v>KELİTE CNC TEKNOLOJİLERİ İTH. İHR. VE SAN. TİC. LTD. ŞTİ.</x:v>
      </x:c>
      <x:c r="B190" s="3"/>
      <x:c r="C190" s="3"/>
      <x:c r="D190" s="3" t="str">
        <x:v>https://www.maktekfuari.com/brand/kelite-cnc-teknolojileri-ith-ihr-ve-san-tic-ltd-sti</x:v>
      </x:c>
      <x:c r="E190" s="8"/>
      <x:c r="F190" s="3" t="str">
        <x:v>11</x:v>
      </x:c>
      <x:c r="G190" s="3" t="str">
        <x:v>1176</x:v>
      </x:c>
      <x:c r="H190" s="8"/>
      <x:c r="I190" s="8"/>
      <x:c r="J190" s="8"/>
    </x:row>
    <x:row r="191">
      <x:c r="A191" s="3" t="str">
        <x:v>KEMA MAKİNA SAN.VE TİC. LTD.ŞTİ.</x:v>
      </x:c>
      <x:c r="B191" s="3"/>
      <x:c r="C191" s="3"/>
      <x:c r="D191" s="3" t="str">
        <x:v>https://www.maktekfuari.com/brand/kema-makina-sanve-tic-ltdsti</x:v>
      </x:c>
      <x:c r="E191" s="8"/>
      <x:c r="F191" s="3" t="str">
        <x:v>10</x:v>
      </x:c>
      <x:c r="G191" s="3" t="str">
        <x:v>1006</x:v>
      </x:c>
      <x:c r="H191" s="8"/>
      <x:c r="I191" s="8"/>
      <x:c r="J191" s="8"/>
    </x:row>
    <x:row r="192">
      <x:c r="A192" s="3" t="str">
        <x:v>KES-TECH MAKİNA İNOVASYON SAN VE TİC.LTD.ŞTİ</x:v>
      </x:c>
      <x:c r="B192" s="3" t="str">
        <x:v>https://www.kes-tech.com</x:v>
      </x:c>
      <x:c r="C192" s="3" t="str">
        <x:v>‎+90 552 654 06 54</x:v>
      </x:c>
      <x:c r="D192" s="3" t="str">
        <x:v>https://www.maktekfuari.com/brand/kes-tech-makina-inovasyon-san-ve-ticltdsti</x:v>
      </x:c>
      <x:c r="E192" s="8" t="str">
        <x:v>TÜBİTAK MAM TEKNOLOJİ SERBEST BÖLGESİ BARIŞ SB MAHALLESİ 5005 SK. NO: 4 POSTA KODU : 41400</x:v>
      </x:c>
      <x:c r="F192" s="3" t="str">
        <x:v>10</x:v>
      </x:c>
      <x:c r="G192" s="3" t="str">
        <x:v>1001</x:v>
      </x:c>
      <x:c r="H192" s="8"/>
      <x:c r="I192" s="8" t="str">
        <x:v>DYNAMIC MACHINE</x:v>
      </x:c>
      <x:c r="J192" s="8" t="str">
        <x:v>CNC Transfer Makinesi Üreticisi. 1986’dan beri özgün mühendisliği, ileri teknolojisi ve hassas işçiliğiyle CNC Transfer Makineleri üreten Kestech Makine; otomotiv, beyaz eşya, elektrik-elektronik, savunma, hidrolik ve kilit gibi lokomotif sektörler için yüksek hızlı ve düşük maliyetli seri üretim çözümleri sunmaktadır. TÜBİTAK MAM Teknoloji Serbest Bölgesi’ndeki AR-GE merkezimizde, Endüstri 4.0 uyumlu, yüksek kapasiteli ve kompakt metal parça işleme transfer makineleri tasarlarken; iş milleri, taret ve gövde gibi en kritik bileşenleri kendi bünyemizde üreterek milimetrik hassasiyeti garanti ediyoruz. ABD, Kanada, Meksika, İtalya ve Hindistan dahil dünyanın dört bir yanındaki küresel temsilcilik ağımız, yüksek verimli döner tablalı transfer makineleri çeşitlerimiz ve 7/24 kesintisiz teknik servisimizle, dünya devlerinin üretimdeki rekabet gücünü artırmaya ve 40 yıllık güvenle geleceğin akıllı fabrikalarını inşa etmeye devam ediyoruz.</x:v>
      </x:c>
    </x:row>
    <x:row r="193">
      <x:c r="A193" s="3" t="str">
        <x:v>KESMAK MAKİNA SAN. VE TİC. LTD. ŞTİ.</x:v>
      </x:c>
      <x:c r="B193" s="3" t="str">
        <x:v>https://www.kesmak.com.tr</x:v>
      </x:c>
      <x:c r="C193" s="3" t="str">
        <x:v>‎+90 539 515 91 28</x:v>
      </x:c>
      <x:c r="D193" s="3" t="str">
        <x:v>https://www.maktekfuari.com/brand/kesmak-makina-san-ve-tic-ltd-sti</x:v>
      </x:c>
      <x:c r="E193" s="8" t="str">
        <x:v>İkitelli Org. San. Bölgesi Demirciler San. Sitesi No:468 İkitelli / Başakşehir / İstanbul</x:v>
      </x:c>
      <x:c r="F193" s="3" t="str">
        <x:v>2</x:v>
      </x:c>
      <x:c r="G193" s="3" t="str">
        <x:v>204</x:v>
      </x:c>
      <x:c r="H193" s="8" t="str">
        <x:v>KESMAK</x:v>
      </x:c>
      <x:c r="I193" s="8"/>
      <x:c r="J193" s="8" t="str">
        <x:v>KESMAK MAKİNA SAN VE TİC LTD ŞTİ 1995 yılından beri şeritli testere tezgahları imalatı yapan, geniş yelpazede ürün seçenekleri sunan, çeşitli iş alanlarına hitap eden, profesyonel olarak çalışan mühendislik firması olarak hizmet vermektedir. İstanbul’da yaklaşık 5000 m² alanda faaliyet gösteren firmamızda talaşlı imalat, montaj, AR-GE, tasarım, teknik servis, teknik destek ve teknik yönlendirme hizmetleri verilmektedir. Firmamız ISO 9001:2000 Kalite Güvence Sistemi belgesine sahiptir. Tezgahlarımızın tamamı AB normlarına uygun olarak üretilmekte ve CE markalaması yapılmaktadır.</x:v>
      </x:c>
    </x:row>
    <x:row r="194">
      <x:c r="A194" s="3" t="str">
        <x:v>KESTAŞ BROŞ TIĞLARI İMALAT SAN. VE TİC. A.Ş.</x:v>
      </x:c>
      <x:c r="B194" s="3" t="str">
        <x:v>http://www.kestas.com.tr/</x:v>
      </x:c>
      <x:c r="C194" s="3" t="str">
        <x:v>‎+90 212 000 00 00</x:v>
      </x:c>
      <x:c r="D194" s="3" t="str">
        <x:v>https://www.maktekfuari.com/brand/kestas-bros-tiglari-imalat-san-ve-tic-as</x:v>
      </x:c>
      <x:c r="E194" s="8" t="str">
        <x:v>Ömerli Mah. Mısır Sok. No: 8</x:v>
      </x:c>
      <x:c r="F194" s="3" t="str">
        <x:v>11</x:v>
      </x:c>
      <x:c r="G194" s="3" t="str">
        <x:v>1102A</x:v>
      </x:c>
      <x:c r="H194" s="8"/>
      <x:c r="I194" s="8"/>
      <x:c r="J194" s="8" t="str">
        <x:v>1985 yılında kurulan KESTAŞ, broş tığı üretiminde Türkiye’nin tartışılmaz lideridir. 7000 m2 kapalı alanda, her biri konusunda uzman mühendis ve teknisyen kadrosuyla başta broş tığları olmak üzere her türlü broş çekme tezgahı ve broşa dayalı yedek parça imalatını gerçekleştirmektedir. Üretimini gerçekleştirdiğimiz broş tığları ulusal ve uluslararası normlara uygun olarak dizayn edilmektedir. Bugün yurt genelinde 800’ü aşkın ana sanayi ve yan sanayi kuruluşuna hizmet veren KESTAŞ; ileri teknolojiye yaptığı yatırımlarla uluslararası piyasalarda rekabet edebilecek bir düzeye ulaşmış bulunmaktadır.</x:v>
      </x:c>
    </x:row>
    <x:row r="195">
      <x:c r="A195" s="3" t="str">
        <x:v>KÖPRÜ METAL SAN. VE TİC. A.Ş.</x:v>
      </x:c>
      <x:c r="B195" s="3"/>
      <x:c r="C195" s="3"/>
      <x:c r="D195" s="3" t="str">
        <x:v>https://www.maktekfuari.com/brand/kopru-metal-san-ve-tic-as</x:v>
      </x:c>
      <x:c r="E195" s="8"/>
      <x:c r="F195" s="3" t="str">
        <x:v>11A</x:v>
      </x:c>
      <x:c r="G195" s="3" t="str">
        <x:v>02</x:v>
      </x:c>
      <x:c r="H195" s="8"/>
      <x:c r="I195" s="8"/>
      <x:c r="J195" s="8"/>
    </x:row>
    <x:row r="196">
      <x:c r="A196" s="3" t="str">
        <x:v>KOWAY MAKİNA SANAYİ VE TİCARET LİMİTED ŞİRKETİ</x:v>
      </x:c>
      <x:c r="B196" s="3" t="str">
        <x:v>https://www.kowaymakina.com.tr</x:v>
      </x:c>
      <x:c r="C196" s="3" t="str">
        <x:v>‎+90 224 908 08 80</x:v>
      </x:c>
      <x:c r="D196" s="3" t="str">
        <x:v>https://www.maktekfuari.com/brand/koway-makina-sanayi-ve-ticaret-limited-sirketi</x:v>
      </x:c>
      <x:c r="E196" s="8" t="str">
        <x:v>IŞIKTEPE OSB MAH. PARK CAD. NO:13</x:v>
      </x:c>
      <x:c r="F196" s="3" t="str">
        <x:v>4</x:v>
      </x:c>
      <x:c r="G196" s="3" t="str">
        <x:v>405</x:v>
      </x:c>
      <x:c r="H196" s="8"/>
      <x:c r="I196" s="8"/>
      <x:c r="J196" s="8"/>
    </x:row>
    <x:row r="197">
      <x:c r="A197" s="3" t="str">
        <x:v>KROMAŞ METAL VE MAKİNA SAN. TİC. LTD. ŞTİ.</x:v>
      </x:c>
      <x:c r="B197" s="3"/>
      <x:c r="C197" s="3"/>
      <x:c r="D197" s="3" t="str">
        <x:v>https://www.maktekfuari.com/brand/kromas-metal-ve-makina-san-tic-ltd-sti</x:v>
      </x:c>
      <x:c r="E197" s="8"/>
      <x:c r="F197" s="3" t="str">
        <x:v>2</x:v>
      </x:c>
      <x:c r="G197" s="3" t="str">
        <x:v>222A</x:v>
      </x:c>
      <x:c r="H197" s="8"/>
      <x:c r="I197" s="8"/>
      <x:c r="J197" s="8"/>
    </x:row>
    <x:row r="198">
      <x:c r="A198" s="3" t="str">
        <x:v>KULA MAKİNA İMALAT SAN.VE TİC.LTD.ŞTİ.</x:v>
      </x:c>
      <x:c r="B198" s="3" t="str">
        <x:v>https://kula.com.tr/</x:v>
      </x:c>
      <x:c r="C198" s="3" t="str">
        <x:v>‎+90 312 395 18 18</x:v>
      </x:c>
      <x:c r="D198" s="3" t="str">
        <x:v>https://www.maktekfuari.com/brand/kula-makina-imalat-sanve-ticltdsti</x:v>
      </x:c>
      <x:c r="E198" s="8" t="str">
        <x:v>İvedik OSB Mahallesi 1483. Cadde No: 1</x:v>
      </x:c>
      <x:c r="F198" s="3" t="str">
        <x:v>5</x:v>
      </x:c>
      <x:c r="G198" s="3" t="str">
        <x:v>503 B</x:v>
      </x:c>
      <x:c r="H198" s="8" t="str">
        <x:v>ARMI; MOTION</x:v>
      </x:c>
      <x:c r="I198" s="8"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c r="J198" s="8" t="str">
        <x:v>Kula Makina önde gelen Hassas Taşlama ve Takım Tezgahları üreticilerinin Türkiye Temsilciliğini yapmaktadır.</x:v>
      </x:c>
    </x:row>
    <x:row r="199">
      <x:c r="A199" s="3" t="str">
        <x:v>KUZEY TEKNİK METAL İŞLEME A.Ş.</x:v>
      </x:c>
      <x:c r="B199" s="3"/>
      <x:c r="C199" s="3"/>
      <x:c r="D199" s="3" t="str">
        <x:v>https://www.maktekfuari.com/brand/kuzey-teknik-metal-isleme-as</x:v>
      </x:c>
      <x:c r="E199" s="8"/>
      <x:c r="F199" s="3" t="str">
        <x:v>12A</x:v>
      </x:c>
      <x:c r="G199" s="3" t="str">
        <x:v>35</x:v>
      </x:c>
      <x:c r="H199" s="8"/>
      <x:c r="I199" s="8"/>
      <x:c r="J199" s="8"/>
    </x:row>
    <x:row r="200">
      <x:c r="A200" s="3" t="str">
        <x:v>LASERAL END. LAZER SİST. SAN. VE TİC. LTD. ŞTİ.</x:v>
      </x:c>
      <x:c r="B200" s="3" t="str">
        <x:v>https://www.laseral.com.tr</x:v>
      </x:c>
      <x:c r="C200" s="3" t="str">
        <x:v>‎+90 232 375 56 75</x:v>
      </x:c>
      <x:c r="D200" s="3" t="str">
        <x:v>https://www.maktekfuari.com/brand/laseral-end-lazer-sist-san-ve-tic-ltd-sti</x:v>
      </x:c>
      <x:c r="E200" s="8" t="str">
        <x:v>129/4 Sokak No:28/D</x:v>
      </x:c>
      <x:c r="F200" s="3" t="str">
        <x:v>2</x:v>
      </x:c>
      <x:c r="G200" s="3" t="str">
        <x:v>227</x:v>
      </x:c>
      <x:c r="H200" s="8" t="str">
        <x:v>LASERAL</x:v>
      </x:c>
      <x:c r="I200" s="8"/>
      <x:c r="J200" s="8" t="str">
        <x:v>Makina tasarımı ve otomasyonu üzerine geniş bilgisi ve becerisi olan Laseral, gerek standart olarak gerek ise müşteriye özel sunduğu endüstriyel lazer sistemi çözümleriyle makine sektöründe kendine özel bir yer edinmiştir. Üretimde ve geliştirmede gösterilen hassasiyetin yanında satış sonrası hizmetlerin de önemini kavramış olan firmamız, hızlı ve geniş servis ağı, deneyimli ve dinamik servis ekibi ve geniş yedek parça envanteri sayesinde tedarik ettiği tüm sistemleri için müşterilerine Türkiye’nin neresi olursa olsun 48 saat içinde müdahale garantisi vermektedir.</x:v>
      </x:c>
    </x:row>
    <x:row r="201">
      <x:c r="A201" s="3" t="str">
        <x:v>LAZERMARKET MARKALAMA KAYNAK YEDEK PARÇA SERVİS KESİM MAKİNA SANAYİ VE TİCARET LİMİTED ŞİRKETİ</x:v>
      </x:c>
      <x:c r="B201" s="3" t="str">
        <x:v>https://www.lazermarket.com/</x:v>
      </x:c>
      <x:c r="C201" s="3" t="str">
        <x:v>‎+90 232 375 86 55</x:v>
      </x:c>
      <x:c r="D201" s="3" t="str">
        <x:v>https://www.maktekfuari.com/brand/lazermarket-markalama-kaynak-yedek-parca-servis-kesim-makina-sanayi-ve-ticaret-limited-sirketi</x:v>
      </x:c>
      <x:c r="E201" s="8" t="str">
        <x:v>129/12 Sokak No: 19 4. Sanayi Sitesi</x:v>
      </x:c>
      <x:c r="F201" s="3" t="str">
        <x:v>12A</x:v>
      </x:c>
      <x:c r="G201" s="3" t="str">
        <x:v>16</x:v>
      </x:c>
      <x:c r="H201" s="8" t="str">
        <x:v>LAZERMARKET</x:v>
      </x:c>
      <x:c r="I201" s="8"/>
      <x:c r="J201" s="8" t="str">
        <x:v>25 yılı aşan tecrübemizle, Türkiye’nin ilk markalama lazeri üreticisi olmanın gurur ve gayretiyle oluşturduğumuz kurumsal değerlerimizi koruyup yeni yüzyılın rekabet ortamında da en iyi hizmeti ve en kaliteli ürünleri yeni teknolojilerle donatılmış tesisimizde, tecrübeli ve çalışkanlıklarıyla gurur duyduğumuz değerli çalışanlarımız ile birlikte ülkesine ve müşterilerine değer katan, sektöründe takip edilen firma olabilmektir.</x:v>
      </x:c>
    </x:row>
    <x:row r="202">
      <x:c r="A202" s="3" t="str">
        <x:v>LINEMEDIA BİLİŞİM LTD. ŞTİ.</x:v>
      </x:c>
      <x:c r="B202" s="3" t="str">
        <x:v>https://machineryline.com.tr/</x:v>
      </x:c>
      <x:c r="C202" s="3" t="str">
        <x:v>‎+90 212 900 47 66</x:v>
      </x:c>
      <x:c r="D202" s="3" t="str">
        <x:v>https://www.maktekfuari.com/brand/linemedia-bilisim-ltd-sti</x:v>
      </x:c>
      <x:c r="E202" s="8" t="str">
        <x:v>ZEYTİNLİK MAH. HALKÇI SK. IREN HAN GÜR ÇARŞI NO: 28 İÇ KAPI NO: 58 Bakırköy, İstanbul – Türkiye</x:v>
      </x:c>
      <x:c r="F202" s="3" t="str">
        <x:v>SalonNo</x:v>
      </x:c>
      <x:c r="G202" s="3" t="str">
        <x:v>StandNo</x:v>
      </x:c>
      <x:c r="H202" s="8" t="str">
        <x:v>Machineryline</x:v>
      </x:c>
      <x:c r="I202" s="8"/>
      <x:c r="J202" s="8" t="str">
        <x:v>Machineryline, inşaat ekipmanları, endüstriyel makineler ve yedek parçalar için bir çevrimiçi pazar yeridir</x:v>
      </x:c>
    </x:row>
    <x:row r="203">
      <x:c r="A203" s="3" t="str">
        <x:v>LİVMAK MAKİNE MÜHENDİSLİK İTH. İHR. SAN. VE TİC. LTD. ŞTİ.</x:v>
      </x:c>
      <x:c r="B203" s="3" t="str">
        <x:v>https://www.livmakina.com.tr/</x:v>
      </x:c>
      <x:c r="C203" s="3" t="str">
        <x:v>‎+90 535 899 08 06</x:v>
      </x:c>
      <x:c r="D203" s="3" t="str">
        <x:v>https://www.maktekfuari.com/brand/livmak-makine-muhendislik-ith-ihr-san-ve-tic-ltd-sti</x:v>
      </x:c>
      <x:c r="E203" s="8" t="str">
        <x:v>Karpuzsekisi Mah. Organize Sanayi Bölgesi 55. Cadde No: 22 Hacılar</x:v>
      </x:c>
      <x:c r="F203" s="3" t="str">
        <x:v>2</x:v>
      </x:c>
      <x:c r="G203" s="3" t="str">
        <x:v>225B</x:v>
      </x:c>
      <x:c r="H203" s="8" t="str">
        <x:v>LİVMAKİNA</x:v>
      </x:c>
      <x:c r="I203" s="8"/>
      <x:c r="J203" s="8" t="str">
        <x:v>1979 yılında kurulan Livmakina 5000 m2 alanda kurulduğu günden bu yana iç ve dış pazara boru bükme makinaları imal etmektedir. Firmamız müşteri memnuniyeti ve satış sonrası servis / hizmeti ön planda tutmaktadır. Bu doğrultuda müşterilerimizin ihtiyaçlarını karşılamak amacıyla Ar-Ge çalışmalarına ara vermeden devam etmektedir. Müşterilerimizin üretim aşamasında zaman, enerji ve kaliteden kazanması adına boru bükme makinalarımızı kullanımı son derece kolay, fiyat-performans odaklı ve en kaliteli şekilde üretmeye devam etmekteyiz. Bu bağlamda NC boru bükme makinası, çift kafa boru bükme makinası ve CNC boru bükme makinaları üretmekteyiz.</x:v>
      </x:c>
    </x:row>
    <x:row r="204">
      <x:c r="A204" s="3" t="str">
        <x:v>LOTHBROG MAKİNE LTD.ŞTİ.</x:v>
      </x:c>
      <x:c r="B204" s="3" t="str">
        <x:v>https://lothbrog.com/</x:v>
      </x:c>
      <x:c r="C204" s="3" t="str">
        <x:v>‎+90 224 908 04 14</x:v>
      </x:c>
      <x:c r="D204" s="3" t="str">
        <x:v>https://www.maktekfuari.com/brand/lothbrog-makine-ltdsti</x:v>
      </x:c>
      <x:c r="E204" s="8" t="str">
        <x:v>Alaaddinbey Mah. 648. Sok. No: 2/C A3 Ada Plaza Nilüfer</x:v>
      </x:c>
      <x:c r="F204" s="3" t="str">
        <x:v>11A</x:v>
      </x:c>
      <x:c r="G204" s="3" t="str">
        <x:v>29</x:v>
      </x:c>
      <x:c r="H204" s="8" t="str">
        <x:v>Lothbrog Makine</x:v>
      </x:c>
      <x:c r="I204" s="8" t="str">
        <x:v>GWEIKE LASER</x:v>
      </x:c>
      <x:c r="J204" s="8" t="str">
        <x:v>Lothbrog Makine kuruluşunun temel taşları olan, genç ve dinamik kadrosu 15 yıldan uzun süre, 200’e yakın lazer makinesi dahil 10.000’den fazla farklı segmentteki yerli üretim sac metal işleme makinelerini dünyanın dört bir yanındaki sanayiciler ile buluşturarak, hem ülke ihracatımıza uzun yıllar katkı sağlamanın, hem de farklı sanayicilik kültürlerinin ülkemize taşınmasına hizmet etmenin haklı gururu içindedir. Kuruluşumuzun üzerinden geçen 5 yıl sonrasında 1000’in üzerinde Fiber Lazer teslimatı ile tüm rakiplerinden açık ara önde olan Lothbrog Makine Ltd. Şti. Sac metal işleme teknolojileri hakkında 15 yıllık bilgi, birikim ve tecrübesini GWEIKE Türkiye Yetkili Distribütörlüğü ile sizlere sunuyor.</x:v>
      </x:c>
    </x:row>
    <x:row r="205">
      <x:c r="A205" s="3" t="str">
        <x:v>MAC BENDING DIŞ TİCARET A.Ş.</x:v>
      </x:c>
      <x:c r="B205" s="3"/>
      <x:c r="C205" s="3"/>
      <x:c r="D205" s="3" t="str">
        <x:v>https://www.maktekfuari.com/brand/mac-bending-dis-ticaret-as</x:v>
      </x:c>
      <x:c r="E205" s="8"/>
      <x:c r="F205" s="3" t="str">
        <x:v>2</x:v>
      </x:c>
      <x:c r="G205" s="3" t="str">
        <x:v>211</x:v>
      </x:c>
      <x:c r="H205" s="8"/>
      <x:c r="I205" s="8"/>
      <x:c r="J205" s="8"/>
    </x:row>
    <x:row r="206">
      <x:c r="A206" s="3" t="str">
        <x:v>MAEN MAKİNE ENDÜSTRİ OTOMOTİV YENİLENEBİLİR ENERJİ İNŞAAT NAKLİYE İMALAT İTHALAT İHRACAT SANAYİ VE TİCARET LİMİTED ŞİRKETİ</x:v>
      </x:c>
      <x:c r="B206" s="3"/>
      <x:c r="C206" s="3"/>
      <x:c r="D206" s="3" t="str">
        <x:v>https://www.maktekfuari.com/brand/maen-makine-endustri-otomotiv-yenilenebilir-enerji-insaat-nakliye-imalat-ithalat-ihracat-sanayi-ve-ticaret-limited-sirketi</x:v>
      </x:c>
      <x:c r="E206" s="8"/>
      <x:c r="F206" s="3" t="str">
        <x:v>12A</x:v>
      </x:c>
      <x:c r="G206" s="3" t="str">
        <x:v>14</x:v>
      </x:c>
      <x:c r="H206" s="8"/>
      <x:c r="I206" s="8"/>
      <x:c r="J206" s="8"/>
    </x:row>
    <x:row r="207">
      <x:c r="A207" s="3" t="str">
        <x:v>MAKEL DIŞ TİCARET A.Ş.</x:v>
      </x:c>
      <x:c r="B207" s="3"/>
      <x:c r="C207" s="3" t="str">
        <x:v>‎+90 532 774 87 47</x:v>
      </x:c>
      <x:c r="D207" s="3" t="str">
        <x:v>https://www.maktekfuari.com/brand/makel-dis-ticaret-as</x:v>
      </x:c>
      <x:c r="E207" s="8" t="str">
        <x:v>KARAMEHMET MAHALLESİ AVRUPA SERBEST BÖLGESİ 2.SOKAK NO:1D ERGENE TEKİRDAĞ</x:v>
      </x:c>
      <x:c r="F207" s="3" t="str">
        <x:v>5</x:v>
      </x:c>
      <x:c r="G207" s="3" t="str">
        <x:v>515</x:v>
      </x:c>
      <x:c r="H207" s="8"/>
      <x:c r="I207" s="8"/>
      <x:c r="J207" s="8" t="str">
        <x:v>Makel Dış Ticaret A.Ş CNC takım tezgahları sektöründe müşterilerinin çözüm ortağı olarak 2002 yılından günümüze hizmet vermektedir. Kurucu ortaklarının toplam 30 yıldan fazla tecrübesinin verdiği uzmanlık ile Makel Dış Ticaret A.Ş,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row>
    <x:row r="208">
      <x:c r="A208" s="3" t="str">
        <x:v>MAKİNA TAKIM ENDÜSTRİSİ A.Ş.</x:v>
      </x:c>
      <x:c r="B208" s="3" t="str">
        <x:v>https://www.makinatakim.com.tr/</x:v>
      </x:c>
      <x:c r="C208" s="3" t="str">
        <x:v>‎+90 262 744 18 80</x:v>
      </x:c>
      <x:c r="D208" s="3" t="str">
        <x:v>https://www.maktekfuari.com/brand/makina-takim-endustrisi-as</x:v>
      </x:c>
      <x:c r="E208" s="8" t="str">
        <x:v>Balçık Mahallesi 3257 Sokak No:15/A 41480 Gebze / Kocaeli / TÜRKİYE</x:v>
      </x:c>
      <x:c r="F208" s="3" t="str">
        <x:v>11</x:v>
      </x:c>
      <x:c r="G208" s="3" t="str">
        <x:v>1120</x:v>
      </x:c>
      <x:c r="H208" s="8"/>
      <x:c r="I208" s="8"/>
      <x:c r="J208" s="8" t="str">
        <x:v>Makina Takım, köklü geçmişiyle güçlü bir geleceğe imza atan, Türkiye'nin ilk ve en büyük kesici takım üreticisidir. Uzun yıllara dayanan tecrübesi, üretim kabiliyeti ve kalite odaklı yaklaşımıyla sanayimizin gelişimine değer katmaya devam etmektedir. Geçmişten gelen güçlü birikimini itinalı üretim anlayışıyla buluşturan Makina Takım; performans, kalite ve süreklilik denince akla gelen ilk markadır.</x:v>
      </x:c>
    </x:row>
    <x:row r="209">
      <x:c r="A209" s="3" t="str">
        <x:v>MAKPA MAKİNA PAZARLAMA LTD ŞTİ</x:v>
      </x:c>
      <x:c r="B209" s="3" t="str">
        <x:v>https://www.makpaltd.com.tr</x:v>
      </x:c>
      <x:c r="C209" s="3" t="str">
        <x:v>‎+90 532 425 59 80</x:v>
      </x:c>
      <x:c r="D209" s="3" t="str">
        <x:v>https://www.maktekfuari.com/brand/makpa-makina-pazarlama-ltd-sti</x:v>
      </x:c>
      <x:c r="E209" s="8" t="str">
        <x:v>Mimar Sinan Mahallesi YEDPA Ticaret Merkezi B Cad.No:32</x:v>
      </x:c>
      <x:c r="F209" s="3" t="str">
        <x:v>11</x:v>
      </x:c>
      <x:c r="G209" s="3" t="str">
        <x:v>1107B</x:v>
      </x:c>
      <x:c r="H209" s="8" t="str">
        <x:v>MAKPA-KINIK</x:v>
      </x:c>
      <x:c r="I209" s="8" t="str">
        <x:v>KINIK COMPANY</x:v>
      </x:c>
      <x:c r="J209" s="8" t="str">
        <x:v>Firmamız genel olarak taşlama taşları satışı ile ilgilenmekte ve 2002 yılından beri Taiwan'da kurulu dünyanın önde gelen taşlama taşı üreticilerinden biri olan KINIK COMPANY distribütörlüğünü yürütmektedir.</x:v>
      </x:c>
    </x:row>
    <x:row r="210">
      <x:c r="A210" s="3" t="str">
        <x:v>MANUS YAZILIM MAK. ELEKTRONİK DAN. MÜH. SAN. TİC. A.Ş.</x:v>
      </x:c>
      <x:c r="B210" s="3" t="str">
        <x:v>https://www.manusnc.com/</x:v>
      </x:c>
      <x:c r="C210" s="3" t="str">
        <x:v>‎+90 312 210 18 14</x:v>
      </x:c>
      <x:c r="D210" s="3" t="str">
        <x:v>https://www.maktekfuari.com/brand/manus-yazilim-mak-elektronik-dan-muh-san-tic-as</x:v>
      </x:c>
      <x:c r="E210" s="8" t="str">
        <x:v>Üniversiteler Mh., İhsan Doğramacı Blv. ODTÜ Teknokent Silikon Blok No: ZK17, 06800 Çankaya/Ankara</x:v>
      </x:c>
      <x:c r="F210" s="3" t="str">
        <x:v>12</x:v>
      </x:c>
      <x:c r="G210" s="3" t="str">
        <x:v>1211B</x:v>
      </x:c>
      <x:c r="H210" s="8"/>
      <x:c r="I210" s="8"/>
      <x:c r="J210" s="8"/>
    </x:row>
    <x:row r="211">
      <x:c r="A211" s="3" t="str">
        <x:v>MASTER MAKİNE TARIM VE GIDA ÜRÜN. SAN. TİC.LTD.ŞTİ.</x:v>
      </x:c>
      <x:c r="B211" s="3" t="str">
        <x:v>https://www.master-makina.com.tr</x:v>
      </x:c>
      <x:c r="C211" s="3" t="str">
        <x:v>‎+90 216 352 00 32</x:v>
      </x:c>
      <x:c r="D211" s="3" t="str">
        <x:v>https://www.maktekfuari.com/brand/master-makine-tarim-ve-gida-urun-san-ticltdsti</x:v>
      </x:c>
      <x:c r="E211" s="8" t="str">
        <x:v>Cevizli Mah. Tansel Cd. Şaman San. Sit. No:78 A-10</x:v>
      </x:c>
      <x:c r="F211" s="3" t="str">
        <x:v>6</x:v>
      </x:c>
      <x:c r="G211" s="3" t="str">
        <x:v>613</x:v>
      </x:c>
      <x:c r="H211" s="8"/>
      <x:c r="I211" s="8" t="str">
        <x:v>KNOLL Maschinenbau GmbH; AR Filtazioni S.R.L.</x:v>
      </x:c>
      <x:c r="J211" s="8" t="str">
        <x:v>www.master-makina.com.tr</x:v>
      </x:c>
    </x:row>
    <x:row r="212">
      <x:c r="A212" s="3" t="str">
        <x:v>MASTER TEKNİK MAKİNA MÜH.SAN.TİC.LTD.ŞTİ</x:v>
      </x:c>
      <x:c r="B212" s="3"/>
      <x:c r="C212" s="3"/>
      <x:c r="D212" s="3" t="str">
        <x:v>https://www.maktekfuari.com/brand/master-teknik-makina-muhsanticltdsti</x:v>
      </x:c>
      <x:c r="E212" s="8"/>
      <x:c r="F212" s="3" t="str">
        <x:v>11A</x:v>
      </x:c>
      <x:c r="G212" s="3" t="str">
        <x:v>01</x:v>
      </x:c>
      <x:c r="H212" s="8"/>
      <x:c r="I212" s="8"/>
      <x:c r="J212" s="8"/>
    </x:row>
    <x:row r="213">
      <x:c r="A213" s="3" t="str">
        <x:v>MAXPHOTONICS ENDÜSTRİYEL LAZER SİSTEMLERİ SAN. VE TİC. A.Ş.</x:v>
      </x:c>
      <x:c r="B213" s="3" t="str">
        <x:v>https://www.maxlasers.com</x:v>
      </x:c>
      <x:c r="C213" s="3" t="str">
        <x:v>‎+90 543 629 74 68</x:v>
      </x:c>
      <x:c r="D213" s="3" t="str">
        <x:v>https://www.maktekfuari.com/brand/maxphotonics-endustriyel-lazer-sistemleri-san-ve-tic-as</x:v>
      </x:c>
      <x:c r="E213" s="8" t="str">
        <x:v>Alaaddinbey Mah. 617. Sk. No:2A 16120 Nilüfer/BURSA</x:v>
      </x:c>
      <x:c r="F213" s="3" t="str">
        <x:v>12A</x:v>
      </x:c>
      <x:c r="G213" s="3" t="str">
        <x:v>32</x:v>
      </x:c>
      <x:c r="H213" s="8" t="str">
        <x:v>Maxphotonics</x:v>
      </x:c>
      <x:c r="I213" s="8"/>
      <x:c r="J213" s="8" t="str">
        <x:v>2004 yılında Çin'in Shenzhen kentinde kurulan Maxphotonics, 160 kW'a ulaşan ileri teknoloji çözümleriyle yüksek güçlü fiber lazerlerin geliştirilmesi, üretimi ve dağıtımında küresel bir öncü haline gelmiştir. Müşterilerine daha yakın olmak, daha iyi hizmet sunmak, yedek parçaları daha hızlı ulaştırmak ve yerel desteğini daha da güçlendirmek amacıyla Maxphotonics, Türkiye'nin Bursa şehrinde Müşteri Hizmetleri Merkezi'ni resmi olarak 2023 yılında hizmete açmıştır. Bu stratejik hamle, Türkiye pazarına olan güçlü bağlılığımızı vurgulamakta, aynı zamanda yerel müşterilerimizin ve iş ortaklarımızın, yenilikçi ve yüksek verimli lazer teknolojilerimizden son derece rekabetçi fiyatlarla çok daha hızlı bir şekilde faydalanmasını sağlamaktadır.</x:v>
      </x:c>
    </x:row>
    <x:row r="214">
      <x:c r="A214" s="3" t="str">
        <x:v>MAYIS TASARIM SELÇUK YILDIRIM</x:v>
      </x:c>
      <x:c r="B214" s="3" t="str">
        <x:v>https://mayistasarim.com/</x:v>
      </x:c>
      <x:c r="C214" s="3" t="str">
        <x:v>‎+90 212 674 10 67</x:v>
      </x:c>
      <x:c r="D214" s="3" t="str">
        <x:v>https://www.maktekfuari.com/brand/mayis-tasarim-selcuk-yildirim</x:v>
      </x:c>
      <x:c r="E214" s="8" t="str">
        <x:v>Topçular Mah. Rami Kışla Cad. No: 58-60 Yöntem Vaytaş Plaza Kat 3 D: 48</x:v>
      </x:c>
      <x:c r="F214" s="3" t="str">
        <x:v>12</x:v>
      </x:c>
      <x:c r="G214" s="3" t="str">
        <x:v>1213</x:v>
      </x:c>
      <x:c r="H214" s="8"/>
      <x:c r="I214" s="8" t="str">
        <x:v>ZG Technology; Uniz; OpenTech3D; Hexagon; Carveco</x:v>
      </x:c>
      <x:c r="J214" s="8" t="str">
        <x:v>2012 yılında kurulan Mayıs Tasarım olarak tasarım ve imalat uygulamaları için donanım olarak; 3 boyutlu lazer ve optik tarama cihazları, 3 boyutlu yazıcılar, yazılım olarak; endüstriyel tasarım, tersine mühendislik ve kalite kontrol yazılımları, hizmet olarak da; 3 boyutlu baskı, tersine mühendislik ile ürün modelleme ve kalite kontrol raporlama vb. endüstriyel hizmetler sunmaktayız.</x:v>
      </x:c>
    </x:row>
    <x:row r="215">
      <x:c r="A215" s="3" t="str">
        <x:v>MB TEKNİK KESİCİ TAKIMLAR LTD. ŞTİ.</x:v>
      </x:c>
      <x:c r="B215" s="3" t="str">
        <x:v>https://www.mbteknik.com.tr</x:v>
      </x:c>
      <x:c r="C215" s="3" t="str">
        <x:v>‎+90 532 616 03 79</x:v>
      </x:c>
      <x:c r="D215" s="3" t="str">
        <x:v>https://www.maktekfuari.com/brand/mb-teknik-kesici-takimlar-ltd-sti</x:v>
      </x:c>
      <x:c r="E215" s="8" t="str">
        <x:v>Alaaddinbey Mh. Pazar (380) Cad. Zer Plaza 3 No:27 A/E</x:v>
      </x:c>
      <x:c r="F215" s="3" t="str">
        <x:v>12A</x:v>
      </x:c>
      <x:c r="G215" s="3" t="str">
        <x:v>01</x:v>
      </x:c>
      <x:c r="H215" s="8"/>
      <x:c r="I215" s="8"/>
      <x:c r="J215" s="8" t="str">
        <x:v>MB Teknik olarak, 20 yıllık tecrübemizle CNC freze ve torna tezgahları için yüksek kaliteli ürünler sunarak müşterilerimizin üretim süreçlerine değer katıyoruz. Bursa merkezli firmamız, bölgedeki güçlü bilinirliği ve güvenilirliği sayesinde sektöründe öncü bir kuruluş haline gelmiştir. Amacımız, müşterilerimize yenilikçi çözümler sunarak üretkenliklerini artırmak ve kaliteli hizmet anlayışımızla uzun vadeli iş birlikleri kurmaktır. Teknik bilgi birikimimiz, uzman ekibimiz ve dünya çapında kabul görmüş markalarla çalışmamız sayesinde, üretim sektöründe ihtiyaçlarınıza en uygun çözümleri sunuyoruz.</x:v>
      </x:c>
    </x:row>
    <x:row r="216">
      <x:c r="A216" s="3" t="str">
        <x:v>MECHATRON METAL MAKİNA SAN. VE TİC. A.Ş.</x:v>
      </x:c>
      <x:c r="B216" s="3" t="str">
        <x:v>https://mechatron.com.tr/</x:v>
      </x:c>
      <x:c r="C216" s="3" t="str">
        <x:v>‎+90 539 839 41 33</x:v>
      </x:c>
      <x:c r="D216" s="3" t="str">
        <x:v>https://www.maktekfuari.com/brand/mechatron-metal-makina-san-ve-tic-as</x:v>
      </x:c>
      <x:c r="E216" s="8" t="str">
        <x:v>ANADOLU MAH. 2. BALKAN SOK. NO:8</x:v>
      </x:c>
      <x:c r="F216" s="3" t="str">
        <x:v>11A</x:v>
      </x:c>
      <x:c r="G216" s="3" t="str">
        <x:v>47</x:v>
      </x:c>
      <x:c r="H216" s="8"/>
      <x:c r="I216" s="8"/>
      <x:c r="J216" s="8" t="str">
        <x:v>2021 yılında otomotiv yedek parça ihracatı ile faaliyetine başlayan firmamız günümüzde 15\’i aşkın ülkeye ihracat yapmaktadır. 2023 yılında metal sektörünün ihtiyaçlarını göz önüne alarak üretim faaliyetine başlamıştır. İlk olarak lazer kesim makinelerinin tezgahlarında biriken cüruflar için cüruf temizleme makinesi üretmiştir. Yüksek temizleme kabiliyeti ve kalitesi ile sektörde ilk tercih edilen marka haline gelmiştir. Metal sektörü için ihtiyaçlara çözüm olabilmek adına farklı makineler için AR-GE çalışmalarını son hızla devam ettirmektedir.</x:v>
      </x:c>
    </x:row>
    <x:row r="217">
      <x:c r="A217" s="3" t="str">
        <x:v>MEGA ELEKTRONİK VE TALAŞLI İMALAT MAK. TİC. A.Ş.</x:v>
      </x:c>
      <x:c r="B217" s="3" t="str">
        <x:v>https://megaelektronik.com.tr</x:v>
      </x:c>
      <x:c r="C217" s="3" t="str">
        <x:v>‎+90 216 428 54 41</x:v>
      </x:c>
      <x:c r="D217" s="3" t="str">
        <x:v>https://www.maktekfuari.com/brand/mega-elektronik-ve-talasli-imalat-mak-tic-as</x:v>
      </x:c>
      <x:c r="E217" s="8" t="str">
        <x:v>Aydınlı, Aydınlı - Birlik OSB, 1 Nolu Cd. NO:9, 34953 Tuzla/İstanbul</x:v>
      </x:c>
      <x:c r="F217" s="3" t="str">
        <x:v>8</x:v>
      </x:c>
      <x:c r="G217" s="3" t="str">
        <x:v>801/807</x:v>
      </x:c>
      <x:c r="H217" s="8"/>
      <x:c r="I217" s="8" t="str">
        <x:v>DN SOLUTIONS; SMG Gear Cutting</x:v>
      </x:c>
      <x:c r="J217" s="8" t="str">
        <x:v>1987 yılında kurulan MEGA Grubu, 1993’te MEGA Elektronik ve Talaşlı İmalat Makinaları Tic. A.Ş. ile takım tezgâhları sektörüne adım atmıştır. Dünyanın önde gelen takım tezgâhı üreticilerinin temsilciliğini yapan MEGA, satış ve satış sonrası desteğinde uzun vadeli müşteri memnuniyetini öncelik edinmiştir. İstanbul Tuzla Serbest Bölgesi’ndeki geniş stok alanı ve showroom’unun yanı sıra İstanbul, Ankara, İzmir, Bursa, Konya ve Eskişehir’de; Romanya’da ise Bükreş, Bra?ov ve Timi?oara’daki ofisleriyle faaliyet göstermektedir. Sektöründe ISO 9001 belgesini alan ilk firma olan MEGA, RO-MEGA Trade S.R.L. ile Romanya’da da pazar liderliğine ulaşmış, ileri teknolojileri ülkemize kazandırmaya devam etmiştir. Satış ve servis ekipleri düzenli eğitimlerle uzmanlıklarını güncellerken, Mesleki Yeterlilik belgeli servis kadrosu ve güçlü yedek parça stoku ile güvenilir ve verimli hizmet sunmaktadır.</x:v>
      </x:c>
    </x:row>
    <x:row r="218">
      <x:c r="A218" s="3" t="str">
        <x:v>MEHMET ÖZEN MAKİNE SAN. VE TİC. A.Ş.</x:v>
      </x:c>
      <x:c r="B218" s="3"/>
      <x:c r="C218" s="3"/>
      <x:c r="D218" s="3" t="str">
        <x:v>https://www.maktekfuari.com/brand/mehmet-ozen-makine-san-ve-tic-as</x:v>
      </x:c>
      <x:c r="E218" s="8"/>
      <x:c r="F218" s="3" t="str">
        <x:v>2</x:v>
      </x:c>
      <x:c r="G218" s="3" t="str">
        <x:v>208</x:v>
      </x:c>
      <x:c r="H218" s="8"/>
      <x:c r="I218" s="8"/>
      <x:c r="J218" s="8"/>
    </x:row>
    <x:row r="219">
      <x:c r="A219" s="3" t="str">
        <x:v>MEK HİDROLİK MAKİNE MÜHENDİSLİK TEKSTİL İNŞAAT VE TİC. LTD. ŞTİ.</x:v>
      </x:c>
      <x:c r="B219" s="3"/>
      <x:c r="C219" s="3"/>
      <x:c r="D219" s="3" t="str">
        <x:v>https://www.maktekfuari.com/brand/mek-hidrolik-makine-muhendislik-tekstil-insaat-ve-tic-ltd-sti</x:v>
      </x:c>
      <x:c r="E219" s="8"/>
      <x:c r="F219" s="3" t="str">
        <x:v>12A</x:v>
      </x:c>
      <x:c r="G219" s="3" t="str">
        <x:v>50D</x:v>
      </x:c>
      <x:c r="H219" s="8"/>
      <x:c r="I219" s="8"/>
      <x:c r="J219" s="8"/>
    </x:row>
    <x:row r="220">
      <x:c r="A220" s="3" t="str">
        <x:v>MEKOTEK MAKİNE SAN VE TİC. A.Ş.</x:v>
      </x:c>
      <x:c r="B220" s="3"/>
      <x:c r="C220" s="3"/>
      <x:c r="D220" s="3" t="str">
        <x:v>https://www.maktekfuari.com/brand/mekotek-makine-san-ve-tic-as</x:v>
      </x:c>
      <x:c r="E220" s="8"/>
      <x:c r="F220" s="3" t="str">
        <x:v>11A</x:v>
      </x:c>
      <x:c r="G220" s="3" t="str">
        <x:v>30</x:v>
      </x:c>
      <x:c r="H220" s="8"/>
      <x:c r="I220" s="8"/>
      <x:c r="J220" s="8"/>
    </x:row>
    <x:row r="221">
      <x:c r="A221" s="3" t="str">
        <x:v>MERT SARF MALZEME VE MAKİNA SANAYİ TİC. LTD. ŞTİ.</x:v>
      </x:c>
      <x:c r="B221" s="3" t="str">
        <x:v>https://mert-makine.com/</x:v>
      </x:c>
      <x:c r="C221" s="3" t="str">
        <x:v>‎+90 212 567 63 78</x:v>
      </x:c>
      <x:c r="D221" s="3" t="str">
        <x:v>https://www.maktekfuari.com/brand/mert-sarf-malzeme-ve-makina-sanayi-tic-ltd-sti</x:v>
      </x:c>
      <x:c r="E221" s="8" t="str">
        <x:v>Muratpaşa Mahallesi Uluyol Caddesi İstanbul Tower İş Merkezi No: 19/S Bayrampaşa</x:v>
      </x:c>
      <x:c r="F221" s="3" t="str">
        <x:v>1</x:v>
      </x:c>
      <x:c r="G221" s="3" t="str">
        <x:v>103</x:v>
      </x:c>
      <x:c r="H221" s="8" t="str">
        <x:v>MERT SARF MALZEMELERİ</x:v>
      </x:c>
      <x:c r="I221" s="8" t="str">
        <x:v>STM SAINT MACHINERY; SINICO; WOOYOUNG INDUSTRY CO.,LTD; IWATA SAW MFG CO., LTD.; LX Cutting Machine</x:v>
      </x:c>
      <x:c r="J221" s="8" t="str">
        <x:v>MERT MAKİNE kurulduğu yıldan bu yana sahip olduğu bilgi birikimi ve tecrübeleri ile metal kesim ve işleme uygulamalarına yönelik Fiber Lazer Kesim, NC – CNC kesim, büküm, bileme makineleri satışı ve testere bileme hizmetiyle Türk sanayi ve üreticilerime katkıda bulunmaktadır. Mert Makine olarak, müşterilerimizin ihtiyaçlarına yönelik özel üretim çalışmalarında da bulunmaktadır. Makine satış ve satış sonrası hizmetlerimizde ki başarımız ile ISO 9001 belgesine sahibiz. Uzman ekibimiz ile gerekli eğitim ve hizmetleri sağlayarak birlikte çalıştığı firmaların en iyi sonuçları almasını sağlamaktayız. ’YENİLİK ve KALİTE’ ilkesiyle doğru ve dürüst hizmeti Türk sanayicilerimize sunmaktayız .</x:v>
      </x:c>
    </x:row>
    <x:row r="222">
      <x:c r="A222" s="3" t="str">
        <x:v>MERTA PREFABRİK VE MAK SAN VE TİC LTD ŞTİ</x:v>
      </x:c>
      <x:c r="B222" s="3" t="str">
        <x:v>https://www.mertaplus.com</x:v>
      </x:c>
      <x:c r="C222" s="3" t="str">
        <x:v>‎+90 535 390 19 59</x:v>
      </x:c>
      <x:c r="D222" s="3" t="str">
        <x:v>https://www.maktekfuari.com/brand/merta-prefabrik-ve-mak-san-ve-tic-ltd-sti</x:v>
      </x:c>
      <x:c r="E222" s="8" t="str">
        <x:v>EGEMENLİK MAH. 6106/35. SK. SADIK ÇAĞLAYAN NO:5 BORNOVA İZMİR TÜRKİYE</x:v>
      </x:c>
      <x:c r="F222" s="3" t="str">
        <x:v>6</x:v>
      </x:c>
      <x:c r="G222" s="3" t="str">
        <x:v>620</x:v>
      </x:c>
      <x:c r="H222" s="8"/>
      <x:c r="I222" s="8" t="str">
        <x:v>Hoffmann; Mixtron; Exomist; Seim</x:v>
      </x:c>
      <x:c r="J222" s="8" t="str">
        <x:v>Merta Filtrasyon, metal işleme sektöründe prosesin ayrılmaz parçası olan metal işleme sıvılarının filtrasyonu, yönetim ve otomasyon çözümleri ile daha verimli kullanılmasını sağlamak hedefinde faaliyet göstermektedir. Merta filtrasyon metal işleme yağları / emülsiyonları ile ilgili sektöre sunduğu hizmet ve çözümleri bünyesindeki tasarım, üretim, otomasyon ve mühendislik departmanları ile çağımızın teknolojisine uygun sistemler hazırlamaktadır. Ana başlık olarak merkezi boryağ filtrasyon ve yönetim projeleri, tezgah bazlı filtrasyon ve otomasyon sistemleri ürün gamımızı oluşturmaktadır. Merta kendi üretimi olan projeler dışında, filtrasyon sistemlerinin sarf malzemesi olan kağıt filtre konusunda ülkemizdeki en geniş ürün gamı ve stoklarına sahiptir. Ayrıca, su tahrikli oransal dozaj pompası konusunda MIXTRON, yağ buharı toplama (oil mist collector) ünitelerinde EXOMIST ve vidalı tip yüksek basınç pompalarında SEIM firmalarının Türkiye distribütörlüğünü yapmaktadır.</x:v>
      </x:c>
    </x:row>
    <x:row r="223">
      <x:c r="A223" s="3" t="str">
        <x:v>METAFORGEX MAKİNA SAN.TİC.LTD.ŞTİ.</x:v>
      </x:c>
      <x:c r="B223" s="3"/>
      <x:c r="C223" s="3"/>
      <x:c r="D223" s="3" t="str">
        <x:v>https://www.maktekfuari.com/brand/metaforgex-makina-santicltdsti</x:v>
      </x:c>
      <x:c r="E223" s="8"/>
      <x:c r="F223" s="3" t="str">
        <x:v>11A</x:v>
      </x:c>
      <x:c r="G223" s="3" t="str">
        <x:v>28</x:v>
      </x:c>
      <x:c r="H223" s="8"/>
      <x:c r="I223" s="8"/>
      <x:c r="J223" s="8"/>
    </x:row>
    <x:row r="224">
      <x:c r="A224" s="3" t="str">
        <x:v>METROPOL SOFT BİLGİ TEKN. SAN. VE TİC. LTD. ŞTİ.</x:v>
      </x:c>
      <x:c r="B224" s="3" t="str">
        <x:v>https://www.metropolsoft.com</x:v>
      </x:c>
      <x:c r="C224" s="3" t="str">
        <x:v>‎+90 216 466 67 70</x:v>
      </x:c>
      <x:c r="D224" s="3" t="str">
        <x:v>https://www.maktekfuari.com/brand/metropol-soft-bilgi-tekn-san-ve-tic-ltd-sti</x:v>
      </x:c>
      <x:c r="E224" s="8" t="str">
        <x:v>YEŞİLBAĞLAR MAH. SELVİLİ SOK. NO2 B36 PENDİK/İSTANBUL</x:v>
      </x:c>
      <x:c r="F224" s="3" t="str">
        <x:v>12</x:v>
      </x:c>
      <x:c r="G224" s="3" t="str">
        <x:v>1211A</x:v>
      </x:c>
      <x:c r="H224" s="8" t="str">
        <x:v>SOLIDWORKS; EDGECAM; WORKNC</x:v>
      </x:c>
      <x:c r="I224" s="8" t="str">
        <x:v>HEXAGON; DASSAULT SYSTEMES</x:v>
      </x:c>
      <x:c r="J224" s="8"/>
    </x:row>
    <x:row r="225">
      <x:c r="A225" s="3" t="str">
        <x:v>METSAN MAKİNE SAN. VE TİC. A.Ş.</x:v>
      </x:c>
      <x:c r="B225" s="3"/>
      <x:c r="C225" s="3"/>
      <x:c r="D225" s="3" t="str">
        <x:v>https://www.maktekfuari.com/brand/metsan-makine-san-ve-tic-as</x:v>
      </x:c>
      <x:c r="E225" s="8"/>
      <x:c r="F225" s="3" t="str">
        <x:v>11A</x:v>
      </x:c>
      <x:c r="G225" s="3" t="str">
        <x:v>44</x:v>
      </x:c>
      <x:c r="H225" s="8"/>
      <x:c r="I225" s="8"/>
      <x:c r="J225" s="8"/>
    </x:row>
    <x:row r="226">
      <x:c r="A226" s="3" t="str">
        <x:v>MİKRON CNC TAK. TEZ. MÜH. BİL. TAS. PRO. SİS. TİC. LTD. ŞTİ.</x:v>
      </x:c>
      <x:c r="B226" s="3" t="str">
        <x:v>https://mikroncnc.com/</x:v>
      </x:c>
      <x:c r="C226" s="3" t="str">
        <x:v>‎+90 533 935 26 43</x:v>
      </x:c>
      <x:c r="D226" s="3" t="str">
        <x:v>https://www.maktekfuari.com/brand/mikron-cnc-tak-tez-muh-bil-tas-pro-sis-tic-ltd-sti</x:v>
      </x:c>
      <x:c r="E226" s="8" t="str">
        <x:v>FERHATPAŞA MAH. 17. SK. NO: 61 ATAŞEHİR / İSTANBUL</x:v>
      </x:c>
      <x:c r="F226" s="3" t="str">
        <x:v>5</x:v>
      </x:c>
      <x:c r="G226" s="3" t="str">
        <x:v>511</x:v>
      </x:c>
      <x:c r="H226" s="8" t="str">
        <x:v>Mikron CNC Edm Teknoloji</x:v>
      </x:c>
      <x:c r="I226" s="8"/>
      <x:c r="J226" s="8"/>
    </x:row>
    <x:row r="227">
      <x:c r="A227" s="3" t="str">
        <x:v>MİKRON OTOMASYON VE MAKİNA BURCU BULUT</x:v>
      </x:c>
      <x:c r="B227" s="3"/>
      <x:c r="C227" s="3"/>
      <x:c r="D227" s="3" t="str">
        <x:v>https://www.maktekfuari.com/brand/mikron-otomasyon-ve-makina-burcu-bulut</x:v>
      </x:c>
      <x:c r="E227" s="8"/>
      <x:c r="F227" s="3" t="str">
        <x:v>11</x:v>
      </x:c>
      <x:c r="G227" s="3" t="str">
        <x:v>1136</x:v>
      </x:c>
      <x:c r="H227" s="8"/>
      <x:c r="I227" s="8"/>
      <x:c r="J227" s="8"/>
    </x:row>
    <x:row r="228">
      <x:c r="A228" s="3" t="str">
        <x:v>MİKSAN MOTOR SAN. VE TİC. A.Ş.</x:v>
      </x:c>
      <x:c r="B228" s="3"/>
      <x:c r="C228" s="3"/>
      <x:c r="D228" s="3" t="str">
        <x:v>https://www.maktekfuari.com/brand/miksan-motor-san-ve-tic-as</x:v>
      </x:c>
      <x:c r="E228" s="8"/>
      <x:c r="F228" s="3" t="str">
        <x:v>10</x:v>
      </x:c>
      <x:c r="G228" s="3" t="str">
        <x:v>1007</x:v>
      </x:c>
      <x:c r="H228" s="8"/>
      <x:c r="I228" s="8"/>
      <x:c r="J228" s="8"/>
    </x:row>
    <x:row r="229">
      <x:c r="A229" s="3" t="str">
        <x:v>MİLTAŞ KESİCİ TAKIM HAVACILIK VE SAVUNMA SAN. TİC. LTD. ŞTİ.</x:v>
      </x:c>
      <x:c r="B229" s="3" t="str">
        <x:v>https://www.miltas.com.tr/</x:v>
      </x:c>
      <x:c r="C229" s="3" t="str">
        <x:v>‎+90 216 593 13 03</x:v>
      </x:c>
      <x:c r="D229" s="3" t="str">
        <x:v>https://www.maktekfuari.com/brand/miltas-kesici-takim-havacilik-ve-savunma-san-tic-ltd-sti</x:v>
      </x:c>
      <x:c r="E229" s="8" t="str">
        <x:v>İstanbul Anadolu Yakası OSB Gazi Blv. No: 51/A</x:v>
      </x:c>
      <x:c r="F229" s="3" t="str">
        <x:v>11 / 2</x:v>
      </x:c>
      <x:c r="G229" s="3" t="str">
        <x:v>1104 - 200A</x:v>
      </x:c>
      <x:c r="H229" s="8"/>
      <x:c r="I229" s="8"/>
      <x:c r="J229" s="8" t="str">
        <x:v>1982 yılında kurulan Türkiye’nin tek yerli takım imalatçısı olma gururunu taşıyan Miltaş Kesici Takım, 2000 yılında sektörün önemli CNC punch press imalatçıları için takım üretmeye başlamıştır. Müşteri memnuniyeti ve yüksek kalite anlayışı ile müşterilerine dünya standartlarında çözüm önerileri sunan Miltaş, teknolojiyi yakından takip ederek, kendini sürekli yenileyip geliştirmektedir. Dünya çapında sektör liderlerinden biri olmak amacıyla üretim kapasitesini her geçen gün arttırmakta ve teknolojik yeni yatırımlar yapmakta olan Miltaş, ulusal ve uluslar arası birçok patente sahip olmakla birlikte üretim teknolojisinin sınırlarını zorlayan ürünler geliştirmeye devam ederek sektörün gelişmesine katkıda bulunmaktadır.</x:v>
      </x:c>
    </x:row>
    <x:row r="230">
      <x:c r="A230" s="3" t="str">
        <x:v>MİT CNC MAKİNA VE İMALAT TEKNOLOJİLERİ SAN. TİC. LTD. ŞTİ.</x:v>
      </x:c>
      <x:c r="B230" s="3" t="str">
        <x:v>https://www.mitcnc.com</x:v>
      </x:c>
      <x:c r="C230" s="3" t="str">
        <x:v>‎+90 541 648 82 62</x:v>
      </x:c>
      <x:c r="D230" s="3" t="str">
        <x:v>https://www.maktekfuari.com/brand/mit-cnc-makina-ve-imalat-teknolojileri-san-tic-ltd-sti</x:v>
      </x:c>
      <x:c r="E230" s="8" t="str">
        <x:v>Ziya Gökalp Mah. Süleyman Demirel Blv. The Office No: 7 Kapı No: 136</x:v>
      </x:c>
      <x:c r="F230" s="3" t="str">
        <x:v>12A</x:v>
      </x:c>
      <x:c r="G230" s="3" t="str">
        <x:v>41</x:v>
      </x:c>
      <x:c r="H230" s="8"/>
      <x:c r="I230" s="8"/>
      <x:c r="J230" s="8" t="str">
        <x:v>Mit CNC bir makina ve imalat teknolojileri şirketidir, talaşlı imalat sektörünün farklı kademelerinde yer almış uzman mühendisler tarafından kurulmuştur. Dünya genelindeki teknoloji devleriyle olan geniş iş birliği ağını müşterilerinin ürünlerini en karlı ve yenilikçi şekilde üretmelerine yardımcı olmak için kullanır cnc takım tezgahları satar ve satış sonrası destekleri verir. Mit CNC olarak görevimiz en yüksek kapasitede makina ve teknolojileri en uygun şartlarda iş ortaklarımıza sunmaktır. Genel makina ve parçaları imalatından, Otomotiv, Savunma ve Havacılık , Yüksek Hassasiyetli Kalıpçılık ile Kuyum sektörlerine kadar birçok farklı sektörde deneyimli ekibi ve portföyü ile hizmet vermektedir.</x:v>
      </x:c>
    </x:row>
    <x:row r="231">
      <x:c r="A231" s="3" t="str">
        <x:v>MİTACAN DIŞ TİCARET VE OTOMOTİV A.Ş.</x:v>
      </x:c>
      <x:c r="B231" s="3" t="str">
        <x:v>https://www.mitacan.com/</x:v>
      </x:c>
      <x:c r="C231" s="3" t="str">
        <x:v>‎+90 212 283 76 57</x:v>
      </x:c>
      <x:c r="D231" s="3" t="str">
        <x:v>https://www.maktekfuari.com/brand/mitacan-dis-ticaret-ve-otomotiv-as</x:v>
      </x:c>
      <x:c r="E231" s="8" t="str">
        <x:v>Huzur Mah. Tomurcuk-1 Sok. No: 7 34485</x:v>
      </x:c>
      <x:c r="F231" s="3" t="str">
        <x:v>11</x:v>
      </x:c>
      <x:c r="G231" s="3" t="str">
        <x:v>1102B</x:v>
      </x:c>
      <x:c r="H231" s="8"/>
      <x:c r="I231" s="8"/>
      <x:c r="J231" s="8"/>
    </x:row>
    <x:row r="232">
      <x:c r="A232" s="3" t="str">
        <x:v>MOĞOLLAR MAKİNA DIŞ TİC.DENİZCİLİK LTD.ŞTİ.</x:v>
      </x:c>
      <x:c r="B232" s="3" t="str">
        <x:v>https://mogolmakina.com</x:v>
      </x:c>
      <x:c r="C232" s="3" t="str">
        <x:v>‎+90 532 234 19 30</x:v>
      </x:c>
      <x:c r="D232" s="3" t="str">
        <x:v>https://www.maktekfuari.com/brand/mogollar-makina-dis-ticdenizcilik-ltdsti</x:v>
      </x:c>
      <x:c r="E232" s="8" t="str">
        <x:v>Beylikduzu Organize sanayi bolgesi birlik sanayi sitesi 2.cadde no 2 posta kodu 34520</x:v>
      </x:c>
      <x:c r="F232" s="3" t="str">
        <x:v>2</x:v>
      </x:c>
      <x:c r="G232" s="3" t="str">
        <x:v>215</x:v>
      </x:c>
      <x:c r="H232" s="8" t="str">
        <x:v>Mogollar Makina</x:v>
      </x:c>
      <x:c r="I232" s="8" t="str">
        <x:v>Top Stability Machine Industry Co Ltd; I-Twin Industrial; Producer Co Ltd</x:v>
      </x:c>
      <x:c r="J232" s="8" t="str">
        <x:v>Mogollar Makina Dış Ticaret Denizcilik Ltd. Şti, 1998 yılında İstanbul Perpa Ticaret Merkezi’nde küçük bir ofiste faaliyetlerine başlamış olup, temeli 1952 yılında bağlantı elemanları sektöründe temelleri atılan Abacıoğlu Vida’dır. 2013 yılı Ocak ayında Beylikdüzü Skyport residence’da makine ve denizcilik sektöründeki faaliyetlerimize devam ettik. Siz değerli çalışma arkadaşlarımızın talep ve ihtiyaçlarını en iyi şekilde karşılamak ilkelerimizin başında gelmektedir. Mogol Makina, Tayvan’daki bazı firmaların Türkiye temsilciliğini yapmaktadır.</x:v>
      </x:c>
    </x:row>
    <x:row r="233">
      <x:c r="A233" s="3" t="str">
        <x:v>MOTUL TR İLERİ TEKNOLOJİ OTOMOTİV VE ENDÜSTRİ YAĞLARI TİCARET A.Ş.</x:v>
      </x:c>
      <x:c r="B233" s="3" t="str">
        <x:v>https://www.motultech.com/</x:v>
      </x:c>
      <x:c r="C233" s="3" t="str">
        <x:v>‎+90 216 570 65 00</x:v>
      </x:c>
      <x:c r="D233" s="3" t="str">
        <x:v>https://www.maktekfuari.com/brand/motul-tr-ileri-teknoloji-otomotiv-ve-endustri-yaglari-ticaret-as</x:v>
      </x:c>
      <x:c r="E233" s="8" t="str">
        <x:v>KÜÇÜKBAKKAL KÖY MAH. VEDAT GÜNYOL CD. LIBERTY PLAZA NO:20 KAT:7 ATAŞEHİR İSTANBUL</x:v>
      </x:c>
      <x:c r="F233" s="3" t="str">
        <x:v>6</x:v>
      </x:c>
      <x:c r="G233" s="3" t="str">
        <x:v>623</x:v>
      </x:c>
      <x:c r="H233" s="8" t="str">
        <x:v>Motul &amp; Motultech</x:v>
      </x:c>
      <x:c r="I233" s="8" t="str">
        <x:v>Motul &amp; Motultech</x:v>
      </x:c>
      <x:c r="J233" s="8" t="str">
        <x:v>MOTUL'un Endüstriyel Yağlar departmanı olan MotulTech; metal işleme ve makine bakımı sektörlerine yönelik ileri teknoloji endüstriyel yağlayıcılar geliştirmektedir. Metal Parça Üretimi süreçlerine özel olarak tasarlanan MotulTech ürün gamı; metal kesme, taşlama, şekillendirme ve döküm-ekstrüzyon yağlarının yanı sıra ısıl işlem (su verme) ürünlerini, pas önleyicileri, temizleyicileri, endüstriyel yağ ve gresleri kapsamaktadır. MotulTech uzmanları; üretim süreçlerini optimize etmek, toplam sahip olma maliyetlerini (TCO) düşürmek ve üretim ile bakım faaliyetlerinde sürdürülebilirliği sağlamak adına son kullanıcılara sahada her gün kesintisiz teknik destek sunmaktadır. MotulTech; küresel ölçekteki ürün ve hizmet ağının yanı sıra kendi üretim tesisleri ve Ar-Ge laboratuvarlarıyla dünya genelinde birçok ülkede faaliyetlerini sürdürmektedir.</x:v>
      </x:c>
    </x:row>
    <x:row r="234">
      <x:c r="A234" s="3" t="str">
        <x:v>MUBEA TELLERFEDERN GMBH Temsilci Firma</x:v>
      </x:c>
      <x:c r="B234" s="3" t="str">
        <x:v>https://www.mubea.com</x:v>
      </x:c>
      <x:c r="C234" s="3" t="str">
        <x:v>‎+90 533 935 31 31</x:v>
      </x:c>
      <x:c r="D234" s="3" t="str">
        <x:v>https://www.maktekfuari.com/brand/mubea-tellerfedern-gmbh</x:v>
      </x:c>
      <x:c r="E234" s="8" t="str">
        <x:v>ERBİLLER SAN.SİT.B B LOK NO:3</x:v>
      </x:c>
      <x:c r="F234" s="3" t="str">
        <x:v>2</x:v>
      </x:c>
      <x:c r="G234" s="3" t="str">
        <x:v>225A</x:v>
      </x:c>
      <x:c r="H234" s="8"/>
      <x:c r="I234" s="8"/>
      <x:c r="J234" s="8"/>
    </x:row>
    <x:row r="235">
      <x:c r="A235" s="3" t="str">
        <x:v>MURAT KÖSE</x:v>
      </x:c>
      <x:c r="B235" s="3" t="str">
        <x:v>https://MURAT KÖSE</x:v>
      </x:c>
      <x:c r="C235" s="3" t="str">
        <x:v>‎+90 554 494 84 03</x:v>
      </x:c>
      <x:c r="D235" s="3" t="str">
        <x:v>https://www.maktekfuari.com/brand/murat-kose</x:v>
      </x:c>
      <x:c r="E235" s="8" t="str">
        <x:v>KISIKLI MAH. GEMİCİ SOK. NO: 27/4 ÜSKÜDAR</x:v>
      </x:c>
      <x:c r="F235" s="3" t="str">
        <x:v>SalonNo</x:v>
      </x:c>
      <x:c r="G235" s="3" t="str">
        <x:v>StandNo</x:v>
      </x:c>
      <x:c r="H235" s="8" t="str">
        <x:v>STEELTURK</x:v>
      </x:c>
      <x:c r="I235" s="8"/>
      <x:c r="J235" s="8" t="str">
        <x:v>SteelTürk Dergisi, özellikle çelik ve demir-çelik sektörüne yönelik aylık yayın yapan bir dergidir.</x:v>
      </x:c>
    </x:row>
    <x:row r="236">
      <x:c r="A236" s="3" t="str">
        <x:v>MUSTAFA ŞİMŞEK MAKİNE SAN. VE TİC. LTD. ŞTİ.</x:v>
      </x:c>
      <x:c r="B236" s="3" t="str">
        <x:v>https://www.smoxh.com.tr</x:v>
      </x:c>
      <x:c r="C236" s="3" t="str">
        <x:v>‎+90 332 251 21 78</x:v>
      </x:c>
      <x:c r="D236" s="3" t="str">
        <x:v>https://www.maktekfuari.com/brand/mustafa-simsek-makine-san-ve-tic-ltd-sti</x:v>
      </x:c>
      <x:c r="E236" s="8" t="str">
        <x:v>Büyükkayacık Mah. 5.OSB 502.Sk No:6 Selçuklu / KONYA</x:v>
      </x:c>
      <x:c r="F236" s="3" t="str">
        <x:v>11</x:v>
      </x:c>
      <x:c r="G236" s="3" t="str">
        <x:v>1161</x:v>
      </x:c>
      <x:c r="H236" s="8" t="str">
        <x:v>SMOXH Cutting Tools</x:v>
      </x:c>
      <x:c r="I236" s="8" t="str">
        <x:v>SMOXH CUTTING TOOLS</x:v>
      </x:c>
      <x:c r="J236" s="8" t="str">
        <x:v>SMOXH Cutting Tools, 2004 yılında Mustafa Şimşek liderliğinde kurulmuş olup, bugün 15.000 m² modern üretim tesisinde faaliyet gösteren, kesici takım sektörünün önde gelen üreticilerinden biridir. Sürekli AR-GE ve teknoloji yatırımlarıyla büyüyen firmamız, CNC torna ve freze uygulamaları için 7.000’den fazla ürün çeşidi üretmektedir. 120 kişilik deneyimli kadrosu ile yüksek kalite standartlarında üretim gerçekleştiren SMOXH, güçlü mühendislik altyapısı ve geniş ürün yelpazesi sayesinde müşterilerine verimli, güvenilir ve rekabetçi çözümler sunmaktadır. Üretiminin %60’ını başta Avrupa olmak üzere 50’den fazla ülkeye ihraç eden SMOXH, uluslararası pazardaki başarısını kalite, sürdürülebilirlik ve müşteri odaklı yaklaşımıyla sürdürmektedir. Yenilikçi üretim anlayışı ve güçlü satış ağıyla SMOXH, dünya çapında tercih edilen bir çözüm ortağı olmaya devam etmektedir.</x:v>
      </x:c>
    </x:row>
    <x:row r="237">
      <x:c r="A237" s="3" t="str">
        <x:v>MUSTEK TAKIM TEZGAHLARI SAN VE TİC LTD ŞTİ</x:v>
      </x:c>
      <x:c r="B237" s="3" t="str">
        <x:v>https://www.mustekcnc.com</x:v>
      </x:c>
      <x:c r="C237" s="3" t="str">
        <x:v>‎+90 216 540 19 19</x:v>
      </x:c>
      <x:c r="D237" s="3" t="str">
        <x:v>https://www.maktekfuari.com/brand/mustek-takim-tezgahlari-san-ve-tic-ltd-sti</x:v>
      </x:c>
      <x:c r="E237" s="8" t="str">
        <x:v>DUDULLU OSB MH. İMES SANAYİ SİTESİ C BLOK 305 SK. NO:7</x:v>
      </x:c>
      <x:c r="F237" s="3" t="str">
        <x:v>7</x:v>
      </x:c>
      <x:c r="G237" s="3" t="str">
        <x:v>709</x:v>
      </x:c>
      <x:c r="H237" s="8"/>
      <x:c r="I237" s="8"/>
      <x:c r="J237" s="8" t="str">
        <x:v>Türk takım tezgahları sektörünün öncü firmalarından olan Mustek, 1997 yılında, 1982 yılından bu yana sektöre hizmet veren Mustafa Kömürlüoğlu tarafından kurulmuştur. Dünyanın en büyük ve tecrübeli CNC takım tezgahı üreticilerini Türkiye’de yaygın satış ve servis ağı ile temsil eden Mustek, ürün gamının başında bulunan işleme merkezleri ve köprü tipi frezelere ek olarak torna tezgahları, derin delik delme tezgahları, taşlama tezgahları, su jeti kesim tezgahları, dövme presleri ve anahtar teslim proje çözümleri sunar.</x:v>
      </x:c>
    </x:row>
    <x:row r="238">
      <x:c r="A238" s="3" t="str">
        <x:v>MVD İNAN TAKIM TEZGAHLARI SAN A.Ş.</x:v>
      </x:c>
      <x:c r="B238" s="3" t="str">
        <x:v>https://www.mvd.com.tr/</x:v>
      </x:c>
      <x:c r="C238" s="3" t="str">
        <x:v>‎+90 546 239 22 31</x:v>
      </x:c>
      <x:c r="D238" s="3" t="str">
        <x:v>https://www.maktekfuari.com/brand/mvd-inan-takim-tezgahlari-san-as</x:v>
      </x:c>
      <x:c r="E238" s="8" t="str">
        <x:v>Büyükkayacık OSB Mahallesi 101. Cadde No:11 Selçuklu/Konya</x:v>
      </x:c>
      <x:c r="F238" s="3" t="str">
        <x:v>3</x:v>
      </x:c>
      <x:c r="G238" s="3" t="str">
        <x:v>308</x:v>
      </x:c>
      <x:c r="H238" s="8"/>
      <x:c r="I238" s="8"/>
      <x:c r="J238" s="8" t="str">
        <x:v>Değerli Müşterilerimiz ve İş Ortaklarımız, 1950 yılından bu yana sac işleme sektöründe faaliyet gösteren MVD İNAN A.Ş. olarak, güven ve tecrübeye dayalı üretim anlayışımızla sektörün öncülerinden biri olmaktan gurur duyuyoruz. Yüksek kaliteli makinelerden bireysel üretim çözümlerine kadar, çok çeşitli endüstri alanlarındaki müşterilerimize kapsamlı çözümler sunuyoruz. Sadece bugünün değil, geleceğin ihtiyaçlarını da karşılamak adına sürekli gelişen ürün gamımızla fark yaratıyoruz. 2018 yılından bu yana faaliyet gösteren AR-GE merkezimiz ile, inovasyonu üretimimizin merkezine taşıyor; yeni teknolojilerle donatılmış bileşenler geliştirerek müşterilerimizin iş süreçlerini kolaylaştırmayı ve verimliliği artırmayı hedefliyoruz. Deneyimli ve yetkin ekibimizle, DIN EN ISO 9001 kalite yönetim sistemi standartlarına uygun şekilde üretim yapıyor; kalite, güvenlik ve müşteri memnuniyetini her zaman ön planda tutuyoruz. Güvenilir İş Ortağınız, MVD</x:v>
      </x:c>
    </x:row>
    <x:row r="239">
      <x:c r="A239" s="3" t="str">
        <x:v>MYK CNC MAK SAN VE MÜH DIŞ TİC AŞ</x:v>
      </x:c>
      <x:c r="B239" s="3" t="str">
        <x:v>https://www.mykcnc.com.tr</x:v>
      </x:c>
      <x:c r="C239" s="3" t="str">
        <x:v>‎+90 535 743 79 07</x:v>
      </x:c>
      <x:c r="D239" s="3" t="str">
        <x:v>https://www.maktekfuari.com/brand/myk-cnc-mak-san-ve-muh-dis-tic-as</x:v>
      </x:c>
      <x:c r="E239" s="8" t="str">
        <x:v>Ostim OSB 1269. Cad. No:35 Yenimahalle/Ankara</x:v>
      </x:c>
      <x:c r="F239" s="3" t="str">
        <x:v>11</x:v>
      </x:c>
      <x:c r="G239" s="3" t="str">
        <x:v>1172</x:v>
      </x:c>
      <x:c r="H239" s="8"/>
      <x:c r="I239" s="8" t="str">
        <x:v>WTO Werkzeug-Einrichtungen GmbH</x:v>
      </x:c>
      <x:c r="J239" s="8"/>
    </x:row>
    <x:row r="240">
      <x:c r="A240" s="3" t="str">
        <x:v>NANO KESİCİ TAKIMLAR LTD.ŞTİ.</x:v>
      </x:c>
      <x:c r="B240" s="3"/>
      <x:c r="C240" s="3"/>
      <x:c r="D240" s="3" t="str">
        <x:v>https://www.maktekfuari.com/brand/nano-kesici-takimlar-ltdsti</x:v>
      </x:c>
      <x:c r="E240" s="8"/>
      <x:c r="F240" s="3" t="str">
        <x:v>11</x:v>
      </x:c>
      <x:c r="G240" s="3" t="str">
        <x:v>1153</x:v>
      </x:c>
      <x:c r="H240" s="8"/>
      <x:c r="I240" s="8"/>
      <x:c r="J240" s="8"/>
    </x:row>
    <x:row r="241">
      <x:c r="A241" s="3" t="str">
        <x:v>NATROTEK TAKIM TEZGAHLARI SAN. VE TİC. LTD. ŞTİ.</x:v>
      </x:c>
      <x:c r="B241" s="3" t="str">
        <x:v>https://www.natrotek.com.tr/</x:v>
      </x:c>
      <x:c r="C241" s="3" t="str">
        <x:v>‎+90 532 526 81 93</x:v>
      </x:c>
      <x:c r="D241" s="3" t="str">
        <x:v>https://www.maktekfuari.com/brand/natrotek-takim-tezgahlari-san-ve-tic-ltd-sti</x:v>
      </x:c>
      <x:c r="E241" s="8" t="str">
        <x:v>DUDULLU OSB MAHALLESİ İMES SANAYİ SİTESİ B BLOK 205 SOKAK NO: 16</x:v>
      </x:c>
      <x:c r="F241" s="3" t="str">
        <x:v>5</x:v>
      </x:c>
      <x:c r="G241" s="3" t="str">
        <x:v>505</x:v>
      </x:c>
      <x:c r="H241" s="8" t="str">
        <x:v>NPRO</x:v>
      </x:c>
      <x:c r="I241" s="8" t="str">
        <x:v>MELTIO 3D PRINTING</x:v>
      </x:c>
      <x:c r="J241" s="8" t="str">
        <x:v>17 YILLIK TALAŞLI İMALAT MAKİNALARI SEKTÖR TECRÜBESİ İLE SANAYİCİLERİMİZE TALAŞLI İMALAT MAKİNALARI TEDARİĞİ SAĞLAMAKTAYIZ.</x:v>
      </x:c>
    </x:row>
    <x:row r="242">
      <x:c r="A242" s="3" t="str">
        <x:v>NATSU MAKİNA İNŞAAT İNŞ. MLZ. SAN. TİC. A. Ş.</x:v>
      </x:c>
      <x:c r="B242" s="3" t="str">
        <x:v>http://www.natsu.com.tr/</x:v>
      </x:c>
      <x:c r="C242" s="3" t="str">
        <x:v>‎+90 533 772 79 32</x:v>
      </x:c>
      <x:c r="D242" s="3" t="str">
        <x:v>https://www.maktekfuari.com/brand/natsu-makina-insaat-ins-mlz-san-tic-a-s</x:v>
      </x:c>
      <x:c r="E242" s="8" t="str">
        <x:v>Uluönder Mahallesi 3072 Sokak Numara 3</x:v>
      </x:c>
      <x:c r="F242" s="3" t="str">
        <x:v>11A</x:v>
      </x:c>
      <x:c r="G242" s="3" t="str">
        <x:v>46</x:v>
      </x:c>
      <x:c r="H242" s="8"/>
      <x:c r="I242" s="8"/>
      <x:c r="J242" s="8" t="str">
        <x:v>NATSU MAKİNA - VAKUMLU KALDIRMA VE TAŞIMA SİSTEMLERİ Natsu vakumlu taşıma sistemlerinin standart ürün yelpazesi, uygulamaların bütün alanlarını kapsayacak kadar geniştir. Her sektörden firmaların ihtiyaç duyacağı vakumlu taşıma sistemleri farklı isimler ile anılmaktadır. Örnek olarak Vakumlu Kaldırma Makinesi, Vakumlu Kaldırma Cihazı, Vakumlu Kaldırma Sistemleri , Vakum Hortumlu Kaldırıcılar, Vakum Hortumlu Kaldırma Cihazı, Vakum Hortumlu Kaldıraç , Vakumlu Kaldırma Aracı , Vakumlu Maniplatör, Vakumlu Pergel Vinç, Vakumlu Kaldıraç, Pergel Vinçli Vakum verilebilir.Natsu vakumlu taşıma sistemleri ülkemizde vakumlu kaldırma ve taşıma alanında yapılan yeniliklere oldukça fazla katkıda bulunmuştur.Vakumlu Taşıyıcıları kullanan firmalar fonksiyonel, elverişli ve güvenli taşıma yapmaya önem veren firmalardır. Bu firmaların kullandığı vakumlu kaldırıcılar son derece zorlu kalite ve güvenlik gereksinimlerini karşılamalıdır.</x:v>
      </x:c>
    </x:row>
    <x:row r="243">
      <x:c r="A243" s="3" t="str">
        <x:v>NEWTOP GROUP LLC</x:v>
      </x:c>
      <x:c r="B243" s="3"/>
      <x:c r="C243" s="3"/>
      <x:c r="D243" s="3" t="str">
        <x:v>https://www.maktekfuari.com/brand/newtop-group-llc</x:v>
      </x:c>
      <x:c r="E243" s="8"/>
      <x:c r="F243" s="3" t="str">
        <x:v>6</x:v>
      </x:c>
      <x:c r="G243" s="3" t="str">
        <x:v>630B</x:v>
      </x:c>
      <x:c r="H243" s="8"/>
      <x:c r="I243" s="8"/>
      <x:c r="J243" s="8"/>
    </x:row>
    <x:row r="244">
      <x:c r="A244" s="3" t="str">
        <x:v>NİKKEN KESİCİ TAK.SAN.VE ULUS.TİC.AŞ.</x:v>
      </x:c>
      <x:c r="B244" s="3" t="str">
        <x:v>https://www.nikken.com.tr/</x:v>
      </x:c>
      <x:c r="C244" s="3" t="str">
        <x:v>‎+90 216 518 10 10</x:v>
      </x:c>
      <x:c r="D244" s="3" t="str">
        <x:v>https://www.maktekfuari.com/brand/nikken-kesici-taksanve-ulusticas</x:v>
      </x:c>
      <x:c r="E244" s="8" t="str">
        <x:v>Girne Mah. E5 Üzeri Yanyol Irmak Sok. Küçükyalı Sanayi Sit. A Blok No: 5</x:v>
      </x:c>
      <x:c r="F244" s="3" t="str">
        <x:v>11</x:v>
      </x:c>
      <x:c r="G244" s="3" t="str">
        <x:v>1117</x:v>
      </x:c>
      <x:c r="H244" s="8" t="str">
        <x:v>Elbo Controlli NIKKEN; NIKKEN</x:v>
      </x:c>
      <x:c r="I244" s="8" t="str">
        <x:v>Triag International AG; Elbo Controlli Nikken; Pibomulti S.A.; Alberti; NACHI</x:v>
      </x:c>
      <x:c r="J244" s="8" t="str">
        <x:v>Tutumumuz ve ruhumuz, yarının endüstrisine katkıda bulunmak için her gün yaptığımız araştırmalarımıza dayanmaktadır. NIKKEN çözümleri, dünyanın en zorlu ürünlerinden bazılarının arkasındaki güçtür ve mümkün olan en zorlu uygulamaların bazılarında üretkenliği artırmaya ve rekabet gücünü artırmaya yardımcı olur. NIKKEN Çözümleri, yüksek hassasiyetli CNC Döner Tablalar, NC Takım Tutucuları, Takım Ön Ayar Makinalar ve Yönetimi ile İş Mili Optimizasyonunu içerir.</x:v>
      </x:c>
    </x:row>
    <x:row r="245">
      <x:c r="A245" s="3" t="str">
        <x:v>NORKVEN ENERJİ SAN. VE TİC. A.Ş.</x:v>
      </x:c>
      <x:c r="B245" s="3" t="str">
        <x:v>https://norkven.com/</x:v>
      </x:c>
      <x:c r="C245" s="3" t="str">
        <x:v>‎+90 850 533 11 33</x:v>
      </x:c>
      <x:c r="D245" s="3" t="str">
        <x:v>https://www.maktekfuari.com/brand/norkven-enerji-san-ve-tic-as</x:v>
      </x:c>
      <x:c r="E245" s="8" t="str">
        <x:v>Kırmızı Cd. No.7, Çalı, Ni·lüfer/Bursa</x:v>
      </x:c>
      <x:c r="F245" s="3" t="str">
        <x:v>11A</x:v>
      </x:c>
      <x:c r="G245" s="3" t="str">
        <x:v>41</x:v>
      </x:c>
      <x:c r="H245" s="8" t="str">
        <x:v>NORKVEN</x:v>
      </x:c>
      <x:c r="I245" s="8" t="str">
        <x:v>Socomec</x:v>
      </x:c>
      <x:c r="J245" s="8" t="str">
        <x:v>Norkven, 2008 yılında endüstriyel enerji çözümleri sektöründe satış sonrası servis hizmetleri sunmak amacıyla kurulmuştur. Kaliteli hizmet ve yenilikçi yaklaşımıyla sektörde hızla büyümeye devam etmektedir. Kesintisiz güç kaynakları, aküler, regülatörler, redresörler, enerji kalitesi ve verimliliği, şarj istasyonları, jeneratörler, trafolar, yenilenebilir enerji sistemleri ve teknik servis hizmetlerini kendi bünyesinde sunmaktadır. Uluslararası kalite standartlarına uygun ürün ve hizmet anlayışıyla öne çıkan Norkven, organizasyonel dönüşüm adımlarıyla üretim sürecini de başlatmış, ithalat ve ihracata ek olarak katma değer yaratmayı hedeflemiştir. Müşteri memnuniyeti odaklı yatırımlar yapan firma, teknolojiye uyum sağlayarak hem ulusal hem de uluslararası alanda sektörün öncüleri arasında yer almayı amaçlamaktadır.</x:v>
      </x:c>
    </x:row>
    <x:row r="246">
      <x:c r="A246" s="3" t="str">
        <x:v>NOVA TESTERE MAK. SAN. VE TİC. LTD. ŞTİ.</x:v>
      </x:c>
      <x:c r="B246" s="3"/>
      <x:c r="C246" s="3"/>
      <x:c r="D246" s="3" t="str">
        <x:v>https://www.maktekfuari.com/brand/nova-testere-mak-san-ve-tic-ltd-sti</x:v>
      </x:c>
      <x:c r="E246" s="8"/>
      <x:c r="F246" s="3" t="str">
        <x:v>2</x:v>
      </x:c>
      <x:c r="G246" s="3" t="str">
        <x:v>214A</x:v>
      </x:c>
      <x:c r="H246" s="8"/>
      <x:c r="I246" s="8"/>
      <x:c r="J246" s="8"/>
    </x:row>
    <x:row r="247">
      <x:c r="A247" s="3" t="str">
        <x:v>NUKON LAZER MAKİNA METAL SAN. VE TİC. A.Ş.</x:v>
      </x:c>
      <x:c r="B247" s="3"/>
      <x:c r="C247" s="3"/>
      <x:c r="D247" s="3" t="str">
        <x:v>https://www.maktekfuari.com/brand/nukon-lazer-makina-metal-san-ve-tic-as</x:v>
      </x:c>
      <x:c r="E247" s="8"/>
      <x:c r="F247" s="3" t="str">
        <x:v>3</x:v>
      </x:c>
      <x:c r="G247" s="3" t="str">
        <x:v>305</x:v>
      </x:c>
      <x:c r="H247" s="8"/>
      <x:c r="I247" s="8"/>
      <x:c r="J247" s="8"/>
    </x:row>
    <x:row r="248">
      <x:c r="A248" s="3" t="str">
        <x:v>NÜMERİK KONTROL GRUP BİLGİSAYAR SANAYİ VE TİCARET ANONİM ŞİRKETİ</x:v>
      </x:c>
      <x:c r="B248" s="3" t="str">
        <x:v>https://www.nkg.com.tr</x:v>
      </x:c>
      <x:c r="C248" s="3" t="str">
        <x:v>‎+90 212 438 28 21</x:v>
      </x:c>
      <x:c r="D248" s="3" t="str">
        <x:v>https://www.maktekfuari.com/brand/numerik-kontrol-grup-bilgisayar-sanayi-ve-ticaret-anonim-sirketi</x:v>
      </x:c>
      <x:c r="E248" s="8" t="str">
        <x:v>Rüstempaşa Mah. Alacahamam Sok. No:4/304 Fatih İSTANBUL</x:v>
      </x:c>
      <x:c r="F248" s="3" t="str">
        <x:v>12</x:v>
      </x:c>
      <x:c r="G248" s="3" t="str">
        <x:v>1212</x:v>
      </x:c>
      <x:c r="H248" s="8"/>
      <x:c r="I248" s="8" t="str">
        <x:v>HEXAGON</x:v>
      </x:c>
      <x:c r="J248" s="8" t="str">
        <x:v>CAD /CAM/CAE sektöründe uzun süredir çalışan tecrübeli satış ve teknik personelden oluşan firmamızın ana hedefi, temsilciliğini yapmakta olduğu, kendi alanlarında ileri teknoloji ürünü olan sistemler yardımıyla, sahip olduğumuz mühendislik bilgisi ve deneyim ile robotlu işleme sistemlerinin getirdiği avantajları proje, eğitim, danışmanlık hizmetlerini sunmaktayız. Teknik personelimiz ile birlikte, bugüne kadar vermiş olduğumuz üstün hizmet anlayışı ve yapmış olduğumuz projeler ile adından söz ettiren bir kuruluş olma yolunda önemli adımlar atmış bulunmaktayız. Mümessili olduğu yazılımlarda kendi bilgi ve deneyimlerini, müşteri ihtiyaçlarını en iyi şekilde analiz ederek, yüksek teknolojiyi kullanarak çözümler sunmaktadır. Saygılarımızla Numerik Kontrol Grup</x:v>
      </x:c>
    </x:row>
    <x:row r="249">
      <x:c r="A249" s="3" t="str">
        <x:v>ONPLUS TEKNOLOJİ HİZMETLERİ DANIŞMANLIK VE DIŞ TİC. A.Ş.</x:v>
      </x:c>
      <x:c r="B249" s="3" t="str">
        <x:v>https://www.onplus.com.tr/</x:v>
      </x:c>
      <x:c r="C249" s="3" t="str">
        <x:v>‎+90 216 471 90 00</x:v>
      </x:c>
      <x:c r="D249" s="3" t="str">
        <x:v>https://www.maktekfuari.com/brand/onplus-teknoloji-hizmetleri-danismanlik-ve-dis-tic-as</x:v>
      </x:c>
      <x:c r="E249" s="8" t="str">
        <x:v>Cevizli Mahallesi Bağdat Caddesi No:538 Ofistanbul Binası Kat:2/11 Maltepe/İstanbul</x:v>
      </x:c>
      <x:c r="F249" s="3" t="str">
        <x:v>5</x:v>
      </x:c>
      <x:c r="G249" s="3" t="str">
        <x:v>504</x:v>
      </x:c>
      <x:c r="H249" s="8" t="str">
        <x:v>WFL MILLTURN Technologies; PAMA S.p.A.; Hyperlean; HNK Machine Tool Co. Ltd.; KISSsoft; Mikron Machining</x:v>
      </x:c>
      <x:c r="I249" s="8" t="str">
        <x:v>HNK MACHINE TOOL CO.LTD.; KISSsoft AG; WFL MILLTURN TECHNOLOGIES GmbH &amp; Co.KG; MIKRON SA AGNO; PAMA S.p.A.; Hyperlean</x:v>
      </x:c>
      <x:c r="J249" s="8" t="str">
        <x:v>ONPLUS Teknoloji Hizmetleri A.Ş., hızla gelişen Türk metal işleme sektörünün ihtiyacı olan yüksek teknoloji talaşlı imalat makineleri, bunlara ait yüksek kaliteli satış sonrası hizmetler ve mühendislik yazılımları, danışmanlığı ile sektöre hizmet etmektedir.</x:v>
      </x:c>
    </x:row>
    <x:row r="250">
      <x:c r="A250" s="3" t="str">
        <x:v>ONUR TEKNİK HIRDAVAT İTH. İHR. SAN. TİC. LTD. ŞTİ</x:v>
      </x:c>
      <x:c r="B250" s="3"/>
      <x:c r="C250" s="3"/>
      <x:c r="D250" s="3" t="str">
        <x:v>https://www.maktekfuari.com/brand/onur-teknik-hirdavat-ith-ihr-san-tic-ltd-sti</x:v>
      </x:c>
      <x:c r="E250" s="8"/>
      <x:c r="F250" s="3" t="str">
        <x:v>11</x:v>
      </x:c>
      <x:c r="G250" s="3" t="str">
        <x:v>1120</x:v>
      </x:c>
      <x:c r="H250" s="8"/>
      <x:c r="I250" s="8"/>
      <x:c r="J250" s="8"/>
    </x:row>
    <x:row r="251">
      <x:c r="A251" s="3" t="str">
        <x:v>ORTADOĞU RULMAN SAN. VE TİC A.Ş.</x:v>
      </x:c>
      <x:c r="B251" s="3" t="str">
        <x:v>https://www.ors.com.tr/</x:v>
      </x:c>
      <x:c r="C251" s="3" t="str">
        <x:v>‎+90 312 648 00 10</x:v>
      </x:c>
      <x:c r="D251" s="3" t="str">
        <x:v>https://www.maktekfuari.com/brand/ortadogu-rulman-san-ve-tic-as</x:v>
      </x:c>
      <x:c r="E251" s="8" t="str">
        <x:v>KUŞÇU MAHALLESİ BEYCEĞİZ YOLU KÜME EVLERİ (ESKİŞEHİR YOLU 65.KM) NO: 76</x:v>
      </x:c>
      <x:c r="F251" s="3" t="str">
        <x:v>6</x:v>
      </x:c>
      <x:c r="G251" s="3" t="str">
        <x:v>611</x:v>
      </x:c>
      <x:c r="H251" s="8" t="str">
        <x:v>ORSKOREA LLC.</x:v>
      </x:c>
      <x:c r="I251" s="8" t="str">
        <x:v>ORSKOREA LLC.</x:v>
      </x:c>
      <x:c r="J251" s="8"/>
    </x:row>
    <x:row r="252">
      <x:c r="A252" s="3" t="str">
        <x:v>OSG TURKEY KESİCİ TAKIMLAR SAN. İÇ VE DIŞ TİC.A.Ş</x:v>
      </x:c>
      <x:c r="B252" s="3" t="str">
        <x:v>http://tr.osgeurope.com</x:v>
      </x:c>
      <x:c r="C252" s="3" t="str">
        <x:v>‎+90 534 769 70 02</x:v>
      </x:c>
      <x:c r="D252" s="3" t="str">
        <x:v>https://www.maktekfuari.com/brand/osg-turkey-kesici-takimlar-san-ic-ve-dis-ticas</x:v>
      </x:c>
      <x:c r="E252" s="8" t="str">
        <x:v>Rami Kışla Cad.Topçular mah.No:56 Eyüpsultan</x:v>
      </x:c>
      <x:c r="F252" s="3" t="str">
        <x:v>11</x:v>
      </x:c>
      <x:c r="G252" s="3" t="str">
        <x:v>1127</x:v>
      </x:c>
      <x:c r="H252" s="8" t="str">
        <x:v>OSG; SOMTA; BASS; FIUDI; EX-CELL-O; D’ANDREA; NTK</x:v>
      </x:c>
      <x:c r="I252" s="8" t="str">
        <x:v>D'ANDREA S.p.A.; REGO-FIX AG</x:v>
      </x:c>
      <x:c r="J252" s="8" t="str">
        <x:v>OSG Corporation Dünya’nn en büyük döner takım üreticisidir.1938 yılında kurulan OSG uzun yıllardan beri üretim endüstrisinden total çözüm sunmaktadır. OSG; üretim,satış ve teknik network ağı sayesinde , Japonya kesici takım üreticileri arasında 1.sıradaki yerini korumaktadır.OSG gücünü ;ürün satışı,teknoloji gelişimi ve üretimi ,müşterilerle yakın ilişkiler kurarak kullanılan aktif know-how iletişimini gerçekleştirmeyi içeren bir iş modelinden almaktadır. Bildiğiniz üzere kılavuz,rayba,matkap,parmak freze denildiğinde akla ilk gelen OSG , alanında Dünya’da 1 numaraya yerleşmesinin tesadüf olmadığını ispatlamış bir markadır.10. yılımızı doldurmanın gururuyla her yıl daha da büyüyerek devam ettiği bu yolda OSG Turkiye olarak inandığı ve güvendiği Türkiye’ye yatırım yapmaya devam ediyor.</x:v>
      </x:c>
    </x:row>
    <x:row r="253">
      <x:c r="A253" s="3" t="str">
        <x:v>OTR MAKİNA SAN VE TİC LTD ŞTİ</x:v>
      </x:c>
      <x:c r="B253" s="3" t="str">
        <x:v>https://www.okuma.eu/tr/</x:v>
      </x:c>
      <x:c r="C253" s="3" t="str">
        <x:v>‎+90 212 472 90 99</x:v>
      </x:c>
      <x:c r="D253" s="3" t="str">
        <x:v>https://www.maktekfuari.com/brand/otr-makina-san-ve-tic-ltd-sti</x:v>
      </x:c>
      <x:c r="E253" s="8" t="str">
        <x:v>Halkalı Merkez Mh. Basın Ekspres Cd. Ayaz Plaza No:5/B Kat:1 34303</x:v>
      </x:c>
      <x:c r="F253" s="3" t="str">
        <x:v>7</x:v>
      </x:c>
      <x:c r="G253" s="3" t="str">
        <x:v>708</x:v>
      </x:c>
      <x:c r="H253" s="8"/>
      <x:c r="I253" s="8" t="str">
        <x:v>Okuma Europe GmbH</x:v>
      </x:c>
      <x:c r="J253" s="8" t="str">
        <x:v>OTR Makina Sanayi ve Ticaret Ltd. Şti. 2009 yılında Okuma Europe GmbH tarafından İstanbul’da kurulmuş olup, 40 çalışanıyla Türkiye’de Okuma müşterilerine makinaların kurulumu, işletmeye alınması, eğitimi ve her türlü teknik servis desteği ile hizmet vermektedir. Bunun yanında tecrübeli aplikasyon ekibiyle anahtar teslim projeler de başarıyla ifa edilmektedir. Personelinin tamamı Okuma’da özel eğitim almış, deneyimli mühendis ve teknisyenlerden oluşmaktadır. Teknik Servisin mekanik ve elektronik mühendisleri her türlü özel ekipman, takım ve ölçme cihazı ile donanımlıdır. Acil durumlar için 7 gün-24 saat Acil Hizmet Hattı ile telefonda bu konuda eğitilmiş mühendisler tarafından en hızlı şekilde arızalara müdahale edilmektedir.</x:v>
      </x:c>
    </x:row>
    <x:row r="254">
      <x:c r="A254" s="3" t="str">
        <x:v>OVİS BİLİŞİM TEKNOLOJİLERİ TİC. LTD. ŞTİ</x:v>
      </x:c>
      <x:c r="B254" s="3" t="str">
        <x:v>https://www.ovis.ist/</x:v>
      </x:c>
      <x:c r="C254" s="3" t="str">
        <x:v>‎+90 212 951 06 00</x:v>
      </x:c>
      <x:c r="D254" s="3" t="str">
        <x:v>https://www.maktekfuari.com/brand/ovis-bilisim-teknolojileri-tic-ltd-sti</x:v>
      </x:c>
      <x:c r="E254" s="8" t="str">
        <x:v>Merkez Mah. Seçkin Sokak. No: 3 Bumerang Binası Kat: 2 Daire: 59 Dap Vadisi</x:v>
      </x:c>
      <x:c r="F254" s="3" t="str">
        <x:v>6</x:v>
      </x:c>
      <x:c r="G254" s="3" t="str">
        <x:v>602</x:v>
      </x:c>
      <x:c r="H254" s="8"/>
      <x:c r="I254" s="8" t="str">
        <x:v>Cincoze; INELMATIC CASTILLA Y LEON SL; ADVENTECH; SINTRONES</x:v>
      </x:c>
      <x:c r="J254" s="8" t="str">
        <x:v>Ovis, deneyimli, genç, dinamik ve gelişen kadrosu, yeniliklere açık yapısı ile sektörde hızla ilerlemeye devam eden, alanında uzman markaların Türkiye distribütörlüklerine sahip, her zaman son teknolojinin izinde bir firmadır. Sektörün dinamik isimlerinden olan Ovis, fansız endüstriyel bilgisayar, endüstriyel mobil bilgisayar, rugged tablet, dokunmatik panel PC, modüler endüstriyel ekran çeşitleri ve bu çözümler için gerekli olan tüm aksesuarlar ile birlikte müşterilerine anahtar teslim kiosk hizmeti de sunmaktadır. Ovis’in iş ortakları arasında, Cincoze, Sintrones, Inelmatic, AAEON, DMD, Innodisk ve Advantech gibi markalar yer almakta olup yüksek kalitede ulaşım ve otomasyon çözümleri sağlamaktadır. Hizmet vermekte olduğumuz alanlar arasında; savunma sanayi, mobil ulaşım, otomasyon, digital signage projeleri yer almaktadır. Özetle Ovis; PC &amp; ekran teknolojisini kullanan tüm kurumların çözüm ortağı olma yolunda hızla ilerlemektedir.</x:v>
      </x:c>
    </x:row>
    <x:row r="255">
      <x:c r="A255" s="3" t="str">
        <x:v>ÖZKA FABRİKA MALZEMELERİ VE TAKIM SANAYİ LTD ŞTİ</x:v>
      </x:c>
      <x:c r="B255" s="3"/>
      <x:c r="C255" s="3"/>
      <x:c r="D255" s="3" t="str">
        <x:v>https://www.maktekfuari.com/brand/ozka-fabrika-malzemeleri-ve-takim-sanayi-ltd-sti</x:v>
      </x:c>
      <x:c r="E255" s="8"/>
      <x:c r="F255" s="3" t="str">
        <x:v>7</x:v>
      </x:c>
      <x:c r="G255" s="3" t="str">
        <x:v>706</x:v>
      </x:c>
      <x:c r="H255" s="8"/>
      <x:c r="I255" s="8"/>
      <x:c r="J255" s="8"/>
    </x:row>
    <x:row r="256">
      <x:c r="A256" s="3" t="str">
        <x:v>ÖZKAYALI MAKİNA A.Ş.</x:v>
      </x:c>
      <x:c r="B256" s="3" t="str">
        <x:v>https://www.ozkayali.com.tr</x:v>
      </x:c>
      <x:c r="C256" s="3" t="str">
        <x:v>‎+90 332 345 46 14</x:v>
      </x:c>
      <x:c r="D256" s="3" t="str">
        <x:v>https://www.maktekfuari.com/brand/ozkayali-makina-as</x:v>
      </x:c>
      <x:c r="E256" s="8" t="str">
        <x:v>Büyükkayacık 5.Organize San.Bölgesi 509 No'lu Sk. No:14 42250 Selçuklu-KONYA / TÜRKİYE</x:v>
      </x:c>
      <x:c r="F256" s="3" t="str">
        <x:v>11</x:v>
      </x:c>
      <x:c r="G256" s="3" t="str">
        <x:v>1112</x:v>
      </x:c>
      <x:c r="H256" s="8"/>
      <x:c r="I256" s="8"/>
      <x:c r="J256" s="8" t="str">
        <x:v>Özkayalı Makina, 1994 yılından bu yana Türkiye’de iş bağlama sistemleri ve hassas makina takımları üretimi yapan güçlü bir üreticidir. CNC hidrolik aynalar, hassas ve 5 eksen mengeneler, döner puntalar, sert ve yumuşak çeneler ile zero point tabla sistemleri başlıca ürün gruplarını oluşturmaktadır. Yüksek hassasiyet, dayanıklılık ve tekrarlanabilirlik odaklı üretim anlayışıyla, talaşlı imalat sektörüne güvenilir çözümler sunmaktadır. Üretiminin %50’sini başta Avrupa olmak üzere 26 ülkeye doğrudan ihraç eden Özkayalı, global pazarda rekabet gücünü kanıtlamış ve uluslararası bir marka haline gelmiştir. Sürekli teknoloji yatırımları ve müşteri odaklı yaklaşımı ile sektörde büyümesini kararlılıkla sürdürmektedir.</x:v>
      </x:c>
    </x:row>
    <x:row r="257">
      <x:c r="A257" s="3" t="str">
        <x:v>ÖZVERİ TEKMAN AVENTEK MAKİNA VE CNC EKİPMANLARI</x:v>
      </x:c>
      <x:c r="B257" s="3" t="str">
        <x:v>https://www.aventekmakina.com</x:v>
      </x:c>
      <x:c r="C257" s="3" t="str">
        <x:v>‎+90 545 874 24 45</x:v>
      </x:c>
      <x:c r="D257" s="3" t="str">
        <x:v>https://www.maktekfuari.com/brand/ozveri-tekman-aventek-makina-ve-cnc-ekipmanlari</x:v>
      </x:c>
      <x:c r="E257" s="8" t="str">
        <x:v>Adalet Mah. Manas Bulv. Folkart Towers A Kule No:47B K:26 D:2601 Bayraklı/İzmir</x:v>
      </x:c>
      <x:c r="F257" s="3" t="str">
        <x:v>12A</x:v>
      </x:c>
      <x:c r="G257" s="3" t="str">
        <x:v>50B</x:v>
      </x:c>
      <x:c r="H257" s="8" t="str">
        <x:v>Heimatec</x:v>
      </x:c>
      <x:c r="I257" s="8" t="str">
        <x:v>Heimatec Gmbh</x:v>
      </x:c>
      <x:c r="J257" s="8"/>
    </x:row>
    <x:row r="258">
      <x:c r="A258" s="3" t="str">
        <x:v>PERKO SANAYİ ÜRÜNLERİ TİCARETİ ANONİM ŞİRKETİ</x:v>
      </x:c>
      <x:c r="B258" s="3" t="str">
        <x:v>https://perko.com.tr/</x:v>
      </x:c>
      <x:c r="C258" s="3" t="str">
        <x:v>‎+90 535 050 69 36</x:v>
      </x:c>
      <x:c r="D258" s="3" t="str">
        <x:v>https://www.maktekfuari.com/brand/perko-sanayi-urunleri-ticareti-anonim-sirketi</x:v>
      </x:c>
      <x:c r="E258" s="8" t="str">
        <x:v>Çerkeşli osb. Mah. İmes 17.Cad. Küçük Sanayi Sitesi D1/1 Dilovası/Kocaeli</x:v>
      </x:c>
      <x:c r="F258" s="3" t="str">
        <x:v>2</x:v>
      </x:c>
      <x:c r="G258" s="3" t="str">
        <x:v>226</x:v>
      </x:c>
      <x:c r="H258" s="8" t="str">
        <x:v>Wikus</x:v>
      </x:c>
      <x:c r="I258" s="8" t="str">
        <x:v>KWS Chengdu YIBAI Technology Co.,Ltd; WIKUS-Sägenfabrik Wilhelm H. Kullmann GmbH &amp; Co. KG</x:v>
      </x:c>
      <x:c r="J258" s="8" t="str">
        <x:v>Perko Sanayi Ürünleri ve Ticaret A.Ş. metal işleme endüstrisinde ihtiyaç duyulan bütün kesim operasyonları ile alakalı mühendislik çözümleri sunmaktayız. 1993 yılından bu yana edindiğimiz tecrübe ve alanlarında uzmanlardan oluşan kadromuz ile hizmet vermekteyiz. Demir-çelik, otomotiv, kalıpçılık, savunma sanayi, çelik konstrüksüyon ve makine gibi birçok sektöre alanında Dünya’nın en gelişmiş, ileri teknolojilerini üreten ve mühendislik çözümlerini tedarik eden lider firmalar ile iş birliği yapmaktayız.</x:v>
      </x:c>
    </x:row>
    <x:row r="259">
      <x:c r="A259" s="3" t="str">
        <x:v>PERPA MAKİNA ENDÜSTRİ SANAYİ VE TİC.LTD.ŞTİ.</x:v>
      </x:c>
      <x:c r="B259" s="3" t="str">
        <x:v>https://perpamakina.com/</x:v>
      </x:c>
      <x:c r="C259" s="3" t="str">
        <x:v>‎+90 212 613 54 74</x:v>
      </x:c>
      <x:c r="D259" s="3" t="str">
        <x:v>https://www.maktekfuari.com/brand/perpa-makina-endustri-sanayi-ve-ticltdsti</x:v>
      </x:c>
      <x:c r="E259" s="8" t="str">
        <x:v>Oruçreis Mah. Vadi Cad. 8. Sok. No: 46/A</x:v>
      </x:c>
      <x:c r="F259" s="3" t="str">
        <x:v>8, 9</x:v>
      </x:c>
      <x:c r="G259" s="3" t="str">
        <x:v>806, 911</x:v>
      </x:c>
      <x:c r="H259" s="8"/>
      <x:c r="I259" s="8" t="str">
        <x:v>FAR EAST MACHINERY (FEMCO); Litz Hitech Corporation; FERMAT CZ. S.R.O; EUMACH Company Limited; JOBS S.p.A.; Rambaudi; Sachman; CTEK TECHNOLOGY CORPORATION</x:v>
      </x:c>
      <x:c r="J259" s="8" t="str">
        <x:v>Firmamız, üniversal takım tezgahlarının ticareti ile İstanbul’da 1986 yılında faaliyetine başlamıştır. İlerleyen yıllarda ise CNC takım tezgahlarının ithalatına ve satışına başlamış ve rotasını bu yöne çevirmiş, 40 seneyi aşkın tecrübesi ile de günümüzde konusunda uzman bir firma olarak faaliyetlerine devam etmektedir. Firmamız kendi alanlarında lider konumda olan seçkin Tayvan, Çin, Çek ve İtalyan firmaların Türkiye temsilciliklerini yürüten, satış öncesi ve sonrası tüm hizmetleri kendi bünyesinde verebilen kadrolara sahip, tüm tecrübesini ve dikkatini CNC kontrollü takım tezgahlarına ayırmış konusunda uzman bir firma haline gelmiştir. Merkezi İSTANBUL’ da bulunan firmamızın ayrıca Bursa, İzmir, Ankara ve Konya’da kendi şubeleri bulunmaktadır. Deneyimli satış ve teknik servis ekipleri sayesinde çok daha hızlı ve kaliteli hizmeti müşterilerine sunmaktadır. Hızlı sevkiyat ve makina temini sağlayabilmek için ise İstanbul Serbest Bölgesindeki depolarında sürekli stok bulundurmaktadır.</x:v>
      </x:c>
    </x:row>
    <x:row r="260">
      <x:c r="A260" s="3" t="str">
        <x:v>Pİ DİJİTAL ENDÜSTRİ A.Ş.</x:v>
      </x:c>
      <x:c r="B260" s="3" t="str">
        <x:v>https://www.pilazerteknolojileri.com/</x:v>
      </x:c>
      <x:c r="C260" s="3" t="str">
        <x:v>‎+90 506 351 03 14</x:v>
      </x:c>
      <x:c r="D260" s="3" t="str">
        <x:v>https://www.maktekfuari.com/brand/pi-dijital-endustri-as</x:v>
      </x:c>
      <x:c r="E260" s="8" t="str">
        <x:v>Fahrettin Kerim Gökay Cad. No:16B Kadıköy/İstanbul</x:v>
      </x:c>
      <x:c r="F260" s="3" t="str">
        <x:v>11A</x:v>
      </x:c>
      <x:c r="G260" s="3" t="str">
        <x:v>12</x:v>
      </x:c>
      <x:c r="H260" s="8"/>
      <x:c r="I260" s="8"/>
      <x:c r="J260" s="8"/>
    </x:row>
    <x:row r="261">
      <x:c r="A261" s="3" t="str">
        <x:v>Pİ KESİCİ TAKIM SANAYİ TİCARET LTD.</x:v>
      </x:c>
      <x:c r="B261" s="3" t="str">
        <x:v>https://www.pikesicitakim.com.tr</x:v>
      </x:c>
      <x:c r="C261" s="3" t="str">
        <x:v>‎+90 544 487 71 06</x:v>
      </x:c>
      <x:c r="D261" s="3" t="str">
        <x:v>https://www.maktekfuari.com/brand/pi-kesici-takim-sanayi-ticaret-ltd</x:v>
      </x:c>
      <x:c r="E261" s="8" t="str">
        <x:v>İVEDİK OSB 1445 CADDE NO:25</x:v>
      </x:c>
      <x:c r="F261" s="3" t="str">
        <x:v>12A</x:v>
      </x:c>
      <x:c r="G261" s="3" t="str">
        <x:v>24</x:v>
      </x:c>
      <x:c r="H261" s="8" t="str">
        <x:v>FXTOOLS</x:v>
      </x:c>
      <x:c r="I261" s="8"/>
      <x:c r="J261" s="8"/>
    </x:row>
    <x:row r="262">
      <x:c r="A262" s="3" t="str">
        <x:v>PİKSAN CNC METAL İŞLEME SAN VE TİC LTD ŞTİ</x:v>
      </x:c>
      <x:c r="B262" s="3" t="str">
        <x:v>https://www.toolex.com.tr</x:v>
      </x:c>
      <x:c r="C262" s="3" t="str">
        <x:v>‎+90 262 502 19 32</x:v>
      </x:c>
      <x:c r="D262" s="3" t="str">
        <x:v>https://www.maktekfuari.com/brand/piksan-cnc-metal-isleme-san-ve-tic-ltd-sti</x:v>
      </x:c>
      <x:c r="E262" s="8" t="str">
        <x:v>ÇERKEŞLİ OSB MAH. İMES BULVARI NO:4 DİLOVASI KOCAELİ</x:v>
      </x:c>
      <x:c r="F262" s="3" t="str">
        <x:v>11</x:v>
      </x:c>
      <x:c r="G262" s="3" t="str">
        <x:v>1122A</x:v>
      </x:c>
      <x:c r="H262" s="8" t="str">
        <x:v>Toolex</x:v>
      </x:c>
      <x:c r="I262" s="8"/>
      <x:c r="J262" s="8" t="str">
        <x:v>Toolex 1976 dan beri karbür freze, matkap, rayba ve özel takımlar üretmektedir. Kesici takım konusunda Türkiye’de lider konumda olup, Avrupa, Amerika, Afrika, Uzakdoğu ve Orta Doğu’ya aktif ihracatı vardır. Toolex Türkiye’nin lider konumunda olan endüstri devlerinin tedarikçisi konumundadır. Üretim kapasitesini ve yatırımlarını devamlı arttıran firmamızın, yurtdışında da distribütör ağı genişlemektedir. - Firmamız TÜV CERT EN ISO 9001-2015 kalite sistem belgesini almış bulunmaktadır. - Çalışan personelimiz İsviçre’de eğitim görmüştür. - Hedefimiz müşterilerimiz için hızlı ve nitelikli bir çözüm ortağı olmaktır</x:v>
      </x:c>
    </x:row>
    <x:row r="263">
      <x:c r="A263" s="3" t="str">
        <x:v>PMS MAKİNA VE SERVİS HİZM. SAN. VE TİC. LTD. ŞTİ.</x:v>
      </x:c>
      <x:c r="B263" s="3" t="str">
        <x:v>httpS://www.pmsmakina.com.tr/</x:v>
      </x:c>
      <x:c r="C263" s="3" t="str">
        <x:v>‎+90 507 133 20 27</x:v>
      </x:c>
      <x:c r="D263" s="3" t="str">
        <x:v>https://www.maktekfuari.com/brand/pms-makina-ve-servis-hizm-san-ve-tic-ltd-sti</x:v>
      </x:c>
      <x:c r="E263" s="8" t="str">
        <x:v>Suadiye Mahallesi Bağdat Caddesi No: 399/1</x:v>
      </x:c>
      <x:c r="F263" s="3" t="str">
        <x:v>10</x:v>
      </x:c>
      <x:c r="G263" s="3" t="str">
        <x:v>1009</x:v>
      </x:c>
      <x:c r="H263" s="8"/>
      <x:c r="I263" s="8" t="str">
        <x:v>LIEBHERR; SAMAG; KLINGELNBERG; THIELENHAUS; CESARE GALDABINI; HEESS</x:v>
      </x:c>
      <x:c r="J263" s="8" t="str">
        <x:v>PMS Makina olarak 2003 yılından bu yana müşterilerimizin imalat ile ilgili taleplerini yerine getirmek amacıyla çeşitli Avrupa menşeli özel makine üreticisi firmaların Türkiye mümessilliğini yapmaktayız. Kuruluşumuzdan günümüze Türkiye\’nin otomotiv ve savunma sanayi başta olmak üzere önde gelen firmalarına çözümler üretmeye çalışıyoruz.</x:v>
      </x:c>
    </x:row>
    <x:row r="264">
      <x:c r="A264" s="3" t="str">
        <x:v>POWERPRESS ENDÜSTRİ MAKİNALARI İTH. İHR. SAN. VE TİC. A.Ş.</x:v>
      </x:c>
      <x:c r="B264" s="3" t="str">
        <x:v>https://powerpress.com.tr/</x:v>
      </x:c>
      <x:c r="C264" s="3" t="str">
        <x:v>‎+90 530 497 77 46</x:v>
      </x:c>
      <x:c r="D264" s="3" t="str">
        <x:v>https://www.maktekfuari.com/brand/powerpress-endustri-makinalari-ith-ihr-san-ve-tic-as</x:v>
      </x:c>
      <x:c r="E264" s="8" t="str">
        <x:v>Mansuroğlu Mah. 288/4 Sok. 9/1 A blok Kat.5/97 Bayraklı /İZMİR</x:v>
      </x:c>
      <x:c r="F264" s="3" t="str">
        <x:v>11A</x:v>
      </x:c>
      <x:c r="G264" s="3" t="str">
        <x:v>49</x:v>
      </x:c>
      <x:c r="H264" s="8" t="str">
        <x:v>Yangzhou Metalforming Machine Tool Co.; Ltd (YADON); GUANGDONG RUIHUI INTELLIGENT TECHNOLOGY CO.; LTD.; Huzhou Machine Tool Works Co.; Ltd</x:v>
      </x:c>
      <x:c r="I264" s="8" t="str">
        <x:v>Yangzhou Metalforming Machine Tool Co., Ltd (YADON); RUIHUI; Huzhou Machine Tool Works Co., Ltd</x:v>
      </x:c>
      <x:c r="J264" s="8" t="str">
        <x:v>POWERPRESS ENDÜSTRİ MAKİNELERİ, Eksantrik Presler, Knuckle-joint Presler, Link Sürücü Presleri, , Yüksek Hızlı Presler, Sıcak/Soğuk Dövme Presleri, Toz Şekillendirme Presleri, Hassas Kesme Presleri, Otomotiv sanayi, beyaz eşya sanayi, sıcak/soğuk dövme sanayi ve bu sektörlerin yan sanayilerine hizmet vermekteyiz. Sektöre sunduğumuz preslerde; Yüksek ayarlanabilir stroklu H/C/D tipi ya da parçalı presler, Otomotiv ve beyaz eşya sektöründe üretim yapan firmalar farklı tonajlarda ve birçok farklı kalıp çeşidi ile çalışmaktadır. Ayarlanabilir strok mesafesi, bu firmaların aynı makine üzerinde farklı ölçülerde birçok kalıp ile çalışmasına imkan vermesi nedeniyle sektörün ilgisini çekmiştir. Strok, tabla ölçüleri, reklaj, kapalı kalıp yüksekliği, spm, pencere açıklıkları vb, özellikler müşteri talepleri doğrultusunda özelleştirilebilmektedir.</x:v>
      </x:c>
    </x:row>
    <x:row r="265">
      <x:c r="A265" s="3" t="str">
        <x:v>PRESTİJ YAYINCILIK BASIM HİZ. SAN. VE TİC. LTD. ŞTİ.</x:v>
      </x:c>
      <x:c r="B265" s="3"/>
      <x:c r="C265" s="3"/>
      <x:c r="D265" s="3" t="str">
        <x:v>https://www.maktekfuari.com/brand/prestij-yayincilik-basim-hiz-san-ve-tic-ltd-sti</x:v>
      </x:c>
      <x:c r="E265" s="8"/>
      <x:c r="F265" s="3" t="str">
        <x:v>SalonNo</x:v>
      </x:c>
      <x:c r="G265" s="3" t="str">
        <x:v>StandNo</x:v>
      </x:c>
      <x:c r="H265" s="8"/>
      <x:c r="I265" s="8"/>
      <x:c r="J265" s="8"/>
    </x:row>
    <x:row r="266">
      <x:c r="A266" s="3" t="str">
        <x:v>PROAKTİF YAZILIM TEKNOLOJİLERİ LTD.ŞTİ.</x:v>
      </x:c>
      <x:c r="B266" s="3"/>
      <x:c r="C266" s="3"/>
      <x:c r="D266" s="3" t="str">
        <x:v>https://www.maktekfuari.com/brand/proaktif-yazilim-teknolojileri-ltdsti</x:v>
      </x:c>
      <x:c r="E266" s="8"/>
      <x:c r="F266" s="3" t="str">
        <x:v>12</x:v>
      </x:c>
      <x:c r="G266" s="3" t="str">
        <x:v>1223</x:v>
      </x:c>
      <x:c r="H266" s="8"/>
      <x:c r="I266" s="8"/>
      <x:c r="J266" s="8"/>
    </x:row>
    <x:row r="267">
      <x:c r="A267" s="3" t="str">
        <x:v>PROART MÜHENDİSLİK A.Ş</x:v>
      </x:c>
      <x:c r="B267" s="3" t="str">
        <x:v>https://www.proarttech.com</x:v>
      </x:c>
      <x:c r="C267" s="3" t="str">
        <x:v>‎+90 262 335 30 19</x:v>
      </x:c>
      <x:c r="D267" s="3" t="str">
        <x:v>https://www.maktekfuari.com/brand/proart-muhendislik-as</x:v>
      </x:c>
      <x:c r="E267" s="8" t="str">
        <x:v>Yaylacık Mah. Ulubat Sok. No:5/2, Başiskele / KOCAELİ</x:v>
      </x:c>
      <x:c r="F267" s="3" t="str">
        <x:v>11</x:v>
      </x:c>
      <x:c r="G267" s="3" t="str">
        <x:v>1171</x:v>
      </x:c>
      <x:c r="H267" s="8" t="str">
        <x:v>TUNGALOY-NTK; FARCUT MÜHENDİSLİK A.Ş; NEHER DIA.</x:v>
      </x:c>
      <x:c r="I267" s="8" t="str">
        <x:v>TUNGALOY-NTK; NEHER DIA.</x:v>
      </x:c>
      <x:c r="J267" s="8" t="str">
        <x:v>ProArt Mühendislik, endüstriyel kesici takımların satışı ve teknik destek hizmetlerinde uzmanlaşmış bir firmadır. 30 yıllık bilgi ve tecrübemizle, müşterilerimize en kaliteli ürünleri ve en üst düzeyde teknik destek sağlamaktan gurur duyuyoruz. Kurulduğumuz günden beri, müşteri memnuniyetini ve endüstriyel ihtiyaçları en üst düzeyde karşılamayı misyon edindik. Sektördeki deneyimimiz ve uzmanlığımız sayesinde, müşterilerimize kesici takımlar konusunda en doğru çözümleri sunuyoruz. ProArt Mühendislik olarak, müşterilerimizin işlerini daha verimli hale getirmelerine yardımcı olmak için sürekli olarak yeniliklere ve gelişmelere odaklanıyoruz. Ürün yelpazemizdeki çeşitlilik sayesinde, her türlü endüstriyel ihtiyaca uygun çözümler sunabiliyoruz. Tecrübeli ve uzman kadromuz, müşterilerimize her adımda profesyonel bir destek sunmaktadır. Müşterilerimizin ihtiyaçlarına en uygun ürünleri seçmelerine ve doğru kullanımları konusunda rehberlik etmek için buradayız.</x:v>
      </x:c>
    </x:row>
    <x:row r="268">
      <x:c r="A268" s="3" t="str">
        <x:v>PROFİSAN MAKİNA OTOMOTİV NAKLİYE TEMİZLİK MEDYA SANAYİ TİCARET LTD.ŞTİ.</x:v>
      </x:c>
      <x:c r="B268" s="3" t="str">
        <x:v>https://www.radusdergisi.com</x:v>
      </x:c>
      <x:c r="C268" s="3" t="str">
        <x:v>‎+90 549 548 99 19</x:v>
      </x:c>
      <x:c r="D268" s="3" t="str">
        <x:v>https://www.maktekfuari.com/brand/profisan-makina-otomotiv-nakliye-temizlik-medya-sanayi-ticaret-ltdsti</x:v>
      </x:c>
      <x:c r="E268" s="8" t="str">
        <x:v>Saray Mah. Saraykent San. Bölgesi 53. Sk No: 15 Kahramankazan / ANKARA</x:v>
      </x:c>
      <x:c r="F268" s="3" t="str">
        <x:v>SalonNo</x:v>
      </x:c>
      <x:c r="G268" s="3" t="str">
        <x:v>StandNo</x:v>
      </x:c>
      <x:c r="H268" s="8"/>
      <x:c r="I268" s="8"/>
      <x:c r="J268" s="8" t="str">
        <x:v>2012 yılından bu yana Radüs Dergisi Araç üreticileri ve bayileri; araç üstü ekipman, treyler, dorse, iş makinaları üreticileri; yan sanayiciler ve tedarikçileri ile yerel yönetimleri, kamuya iş yapan hizmet firmalarını ve inşaat firmalarını, temizlik hizmet firmaları gibi özel kuruluşlara dağıtımı yapılmaktadır. Dağıtım ağını oldukça geniş tutarak her ay düzenli olarak yayın yapmakta ve ilgili kurum ve kuruluşlardaki kişilere ücretsiz olarak gönderilmektedir. Aylık 4.000 adet noktaya dağıtımımız yapılmakta ve her yeni sayımızda yaklaşık 10.000 adet Mailing yapılmaktadır. Sektörden haberler, özel röportajlar, firmaların tanıtımı, yeni ürünler, yazarlarımızın farklı konularda sizlerin ilgisine hitap edeceğini düşündüğümüz yazıları ve reklamlar dergimizde yer almaktadır.</x:v>
      </x:c>
    </x:row>
    <x:row r="269">
      <x:c r="A269" s="3" t="str">
        <x:v>PROLİNE ENERJİ A.Ş.</x:v>
      </x:c>
      <x:c r="B269" s="3" t="str">
        <x:v>https://prolineenerji.com.tr</x:v>
      </x:c>
      <x:c r="C269" s="3" t="str">
        <x:v>‎+90 533 027 73 94</x:v>
      </x:c>
      <x:c r="D269" s="3" t="str">
        <x:v>https://www.maktekfuari.com/brand/proline-enerji-as</x:v>
      </x:c>
      <x:c r="E269" s="8" t="str">
        <x:v>SELİMAPAŞA MAH. 6093. SOK. NO: 56/A</x:v>
      </x:c>
      <x:c r="F269" s="3" t="str">
        <x:v>11A</x:v>
      </x:c>
      <x:c r="G269" s="3" t="str">
        <x:v>09</x:v>
      </x:c>
      <x:c r="H269" s="8"/>
      <x:c r="I269" s="8"/>
      <x:c r="J269" s="8"/>
    </x:row>
    <x:row r="270">
      <x:c r="A270" s="3" t="str">
        <x:v>PROMAK PRES OTOMASYON MAK. SAN VE TIC. LTD. ŞTİ</x:v>
      </x:c>
      <x:c r="B270" s="3" t="str">
        <x:v>https://https;//www.promakmakina.com</x:v>
      </x:c>
      <x:c r="C270" s="3" t="str">
        <x:v>‎+90 212 320 85 10</x:v>
      </x:c>
      <x:c r="D270" s="3" t="str">
        <x:v>https://www.maktekfuari.com/brand/promak-pres-otomasyon-mak-san-ve-tic-ltd-sti</x:v>
      </x:c>
      <x:c r="E270" s="8" t="str">
        <x:v>PERPA TİCARET MERKEZİ B BLOK K11 NO: 1987 OKMEYDANI</x:v>
      </x:c>
      <x:c r="F270" s="3" t="str">
        <x:v>1</x:v>
      </x:c>
      <x:c r="G270" s="3" t="str">
        <x:v>108</x:v>
      </x:c>
      <x:c r="H270" s="8" t="str">
        <x:v>SUPROTECH</x:v>
      </x:c>
      <x:c r="I270" s="8" t="str">
        <x:v>KTI; PA INDUSTRIES; GOIZPER; FORWELL; BORDIGNON; DIMECO; GPA AUTOMATION; INTERCOM SRL; NGK BERYLCO FRANCE</x:v>
      </x:c>
      <x:c r="J270" s="8"/>
    </x:row>
    <x:row r="271">
      <x:c r="A271" s="3" t="str">
        <x:v>R KOMPRESÖR MAK SAN VE TİC LTD ŞTİ</x:v>
      </x:c>
      <x:c r="B271" s="3" t="str">
        <x:v>https://www.rkom.com.tr</x:v>
      </x:c>
      <x:c r="C271" s="3" t="str">
        <x:v>‎+90 232 472 16 16</x:v>
      </x:c>
      <x:c r="D271" s="3" t="str">
        <x:v>https://www.maktekfuari.com/brand/r-kompresor-mak-san-ve-tic-ltd-sti</x:v>
      </x:c>
      <x:c r="E271" s="8" t="str">
        <x:v>İzeltaş Galeria, Karacaoğlan Mah. 6172 Sokak No:10/4E, Bornova/İzmir, Türkiye</x:v>
      </x:c>
      <x:c r="F271" s="3" t="str">
        <x:v>11A</x:v>
      </x:c>
      <x:c r="G271" s="3" t="str">
        <x:v>05</x:v>
      </x:c>
      <x:c r="H271" s="8" t="str">
        <x:v>Filtermist; Donaldson; Kerstar; TST</x:v>
      </x:c>
      <x:c r="I271" s="8" t="str">
        <x:v>Filtermist; Kerstar; Donaldson</x:v>
      </x:c>
      <x:c r="J271" s="8" t="str">
        <x:v>25 yılı aşkın teknik tecrübemizle endüstriyel üretim tesislerinin hava temizliği ve operasyonel bakım ihtiyaçlarına anahtar teslim çözümler sunuyoruz. Sektörün öncü markaları Filtermist (yağ buharı filtrasyonu), Donaldson (toz toplama) ve Kerstar (endüstriyel vakum) ile CNC, lazer kesim ve ağır sanayi sahalarında iş verimliliğini koruyoruz. İzmir merkezli uzman kadromuzla; sistem projelendirme, kurulum ve satış sonrası teknik destek süreçlerinde, makine ömrünü uzatan ve iş güvenliği standartlarını yükselten uçtan uca mühendislik hizmetleri sağlıyoruz. Üretim sahanızdaki hava kalitesini dünya standartlarına taşımak için standımızda çözüm ortağınız olmaya hazırız.</x:v>
      </x:c>
    </x:row>
    <x:row r="272">
      <x:c r="A272" s="3" t="str">
        <x:v>RECUS LAZER SİSTEMLERİ VE TEKNİK SERVİS HİZ. SAN. TİC. LTD. ŞTİ.</x:v>
      </x:c>
      <x:c r="B272" s="3"/>
      <x:c r="C272" s="3"/>
      <x:c r="D272" s="3" t="str">
        <x:v>https://www.maktekfuari.com/brand/recus-lazer-sistemleri-ve-teknik-servis-hiz-san-tic-ltd-sti</x:v>
      </x:c>
      <x:c r="E272" s="8"/>
      <x:c r="F272" s="3" t="str">
        <x:v>12A</x:v>
      </x:c>
      <x:c r="G272" s="3" t="str">
        <x:v>26</x:v>
      </x:c>
      <x:c r="H272" s="8"/>
      <x:c r="I272" s="8"/>
      <x:c r="J272" s="8"/>
    </x:row>
    <x:row r="273">
      <x:c r="A273" s="3" t="str">
        <x:v>REDOKS MÜHENDİSLİK BİLG. KALIP MAK. TAS. SAN.TİC. LTD. ŞTİ.</x:v>
      </x:c>
      <x:c r="B273" s="3" t="str">
        <x:v>https://www.redoks.com.tr</x:v>
      </x:c>
      <x:c r="C273" s="3" t="str">
        <x:v>‎+90 224 211 62 00</x:v>
      </x:c>
      <x:c r="D273" s="3" t="str">
        <x:v>https://www.maktekfuari.com/brand/redoks-muhendislik-bilg-kalip-mak-tas-santic-ltd-sti</x:v>
      </x:c>
      <x:c r="E273" s="8" t="str">
        <x:v>Aladdinbey Mah. Çiftlik Cad. No:20</x:v>
      </x:c>
      <x:c r="F273" s="3" t="str">
        <x:v>12</x:v>
      </x:c>
      <x:c r="G273" s="3" t="str">
        <x:v>1207</x:v>
      </x:c>
      <x:c r="H273" s="8"/>
      <x:c r="I273" s="8" t="str">
        <x:v>Tebis AG</x:v>
      </x:c>
      <x:c r="J273" s="8" t="str">
        <x:v>Redoks Mühendislik tasarım, mühendislik ve imalat alanlarında dünyada yaygın olarak kullanılan en gelişmiş ürünlere dayalı çözümleri ülkemiz yararına kullanıma sunarak işletmelerde kalite, verimlilik ve karlılığın artırılması amacıyla kurulmuştur. Bu amaç doğrultusunda başta Tebis olmak üzere konularında lider birçok marka ve çözümün Türkiye temsilciliğini yürütmektedir. Tecrübeli kadrosu ile tasarım, mühendislik, tersine mühendislik ve talaşlı imalat konularında proje ve danışmanlık hizmetleri vermektedir. Redoks Mühendislik faaliyetlerini Bursa ve İstanbul ofislerinde sürdürmektedir.</x:v>
      </x:c>
    </x:row>
    <x:row r="274">
      <x:c r="A274" s="3" t="str">
        <x:v>REDON TEKNOLOJİ A.Ş.</x:v>
      </x:c>
      <x:c r="B274" s="3" t="str">
        <x:v>https://www.redon.com</x:v>
      </x:c>
      <x:c r="C274" s="3" t="str">
        <x:v>‎+90 539 669 55 52</x:v>
      </x:c>
      <x:c r="D274" s="3" t="str">
        <x:v>https://www.maktekfuari.com/brand/redon-teknoloji-as</x:v>
      </x:c>
      <x:c r="E274" s="8" t="str">
        <x:v>Anadolu Yakası Osb Mahallesi 10. Sokak No:1 34956 Aydınlı Tuzla, Istanbul - Türkiye</x:v>
      </x:c>
      <x:c r="F274" s="3" t="str">
        <x:v>12</x:v>
      </x:c>
      <x:c r="G274" s="3" t="str">
        <x:v>1204</x:v>
      </x:c>
      <x:c r="H274" s="8"/>
      <x:c r="I274" s="8"/>
      <x:c r="J274" s="8" t="str">
        <x:v>2007 yılında kurulan Redon, dental teknoloji sektöründe ‘’değer yaratan çözümler’’ üretebilme hayaliyle yola çıktı. İşini tutkuyla yapan insanların uzun yıllara dayanan tecrübelerini merkezine alan Redon, kalite ve hassasiyetten ödün vermeyen hizmet anlayışı sayesinde, kısa süre içinde sektörün öncüsü olmayı başardı. Önce çeşitli analiz yöntemleri kullanarak sektörün ihtiyaçlarını belirledi, ardından yüksek performanslı ürünleri estetik bir tasarımla birleştirerek alanında devrim niteliğinde işlere imza atmaya başladı. Son üç yılda Türkiye Pazar payını üç katına çıkaran Redon, 2019-2020 yılları arasında Türkiye’de en çok tercih edilen dental cad/cam kazıma makinesi unvanını kazandı. Bugün ise Avrupa başta olmak üzere hizmet verdiği 30+ ülkeye değer yaratan çözümler sunmaya devam ediyor.</x:v>
      </x:c>
    </x:row>
    <x:row r="275">
      <x:c r="A275" s="3" t="str">
        <x:v>REHA HİDROLİK MAKİNA İMALAT SANAYİ VE TİCARET LİMİTED ŞİRKETİ</x:v>
      </x:c>
      <x:c r="B275" s="3" t="str">
        <x:v>https://www.rehamakina.com/</x:v>
      </x:c>
      <x:c r="C275" s="3" t="str">
        <x:v>‎+90 532 677 08 02</x:v>
      </x:c>
      <x:c r="D275" s="3" t="str">
        <x:v>https://www.maktekfuari.com/brand/reha-hidrolik-makina-imalat-sanayi-ve-ticaret-limited-sirketi</x:v>
      </x:c>
      <x:c r="E275" s="8" t="str">
        <x:v>Fevzi Çakmak Mah. Astim Özel Organize San. 10753 Sok. No: 20/F Karatay</x:v>
      </x:c>
      <x:c r="F275" s="3" t="str">
        <x:v>1</x:v>
      </x:c>
      <x:c r="G275" s="3" t="str">
        <x:v>102</x:v>
      </x:c>
      <x:c r="H275" s="8"/>
      <x:c r="I275" s="8"/>
      <x:c r="J275" s="8" t="str">
        <x:v>1986 yılında Yiğitler Makine Sanayi olarak sanayi çarşısında işletmemiz faaliyetine başladı. Kollu saç profil makası imalatı yapıldı. Aynı dönemlerde kollu eksantrik pres ve 1,5 m motorlu ve kollu giyotin makas imalatı ile devam ettik. 1994 yılından itibaren motorlu eksantrik pres imalatına başladık. 2001 yılından itibaren kollu makas imalatı tamamen bırakılarak Anadolu Teknik Sanayinde Ağustos 2010 a kadar imalatlarımıza devam ettik. Halen yeni fabrikamızda ar-ge çalışmlarımızla birlikte sektörün öncüsü olarak hızlı hidrolik pres üretimimiz devam etmektedir.</x:v>
      </x:c>
    </x:row>
    <x:row r="276">
      <x:c r="A276" s="3" t="str">
        <x:v>RENİSHAW TEKNOLOJİ ÇÖZÜMLERİ LTD ŞTİ</x:v>
      </x:c>
      <x:c r="B276" s="3" t="str">
        <x:v>https://www.renishaw.com.tr</x:v>
      </x:c>
      <x:c r="C276" s="3" t="str">
        <x:v>‎+90 216 380 92 40</x:v>
      </x:c>
      <x:c r="D276" s="3" t="str">
        <x:v>https://www.maktekfuari.com/brand/renishaw-teknoloji-cozumleri-ltd-sti</x:v>
      </x:c>
      <x:c r="E276" s="8" t="str">
        <x:v>Şerifali Mah. Turgut Özal Bulvarı No: 193</x:v>
      </x:c>
      <x:c r="F276" s="3" t="str">
        <x:v>8</x:v>
      </x:c>
      <x:c r="G276" s="3" t="str">
        <x:v>813</x:v>
      </x:c>
      <x:c r="H276" s="8"/>
      <x:c r="I276" s="8"/>
      <x:c r="J276" s="8" t="str">
        <x:v>Renishaw, ölçme ve yüksek verimlilik için yüksek performanslı, ekonomik çözümler sunan, metroloji alanında dünya lideri bir kuruluştur. Dünya çapındaki temsilcilikleri ve distribütör ağı vasıtasıyla müşterilerine eşsiz bir servis ve destek hizmeti sunmaktadır. Renishaw, yüksek kalite standartlarına sahip ürünler tasarlar, geliştirir ve üretir. Renishaw aşağıdaki ürünlerle benzersiz çözümler sunmaktadır. Üç boyutlu tezgahlarda ölçüm için prob sistemleri (CMM). Takım tezgahlarında iş ayarı, tezgah ayarı ve ölçüm için sistemler. Tarama ve dijitalleştirme sistemleri. Makinelerin performans ölçümü ve kalibrasyonu için lazer ve otomatik Ballbar sistemleri. Yüksek hassasiyetli konum geribildirimi için enkoder sistemleri. Laboratuar ve proses ortamlarında tahribatsız malzeme analizi için spektroskopi sistemleri. Ölçüm ve takım ayar probları için uçlar.</x:v>
      </x:c>
    </x:row>
    <x:row r="277">
      <x:c r="A277" s="3" t="str">
        <x:v>ROTHENBERGER TESİSAT ALET VE MAK.SAN.TİC.LTD.ŞTİ.</x:v>
      </x:c>
      <x:c r="B277" s="3" t="str">
        <x:v>https://ROTHENBERGER TES.ALET VE MAK.SAN.TİC.LTD.ŞTİ.</x:v>
      </x:c>
      <x:c r="C277" s="3" t="str">
        <x:v>‎+90 555 534 67 07</x:v>
      </x:c>
      <x:c r="D277" s="3" t="str">
        <x:v>https://www.maktekfuari.com/brand/rothenberger-tesisat-alet-ve-maksanticltdsti</x:v>
      </x:c>
      <x:c r="E277" s="8" t="str">
        <x:v>ROTHENBERGER Center Barbaros Bulvarı No:9</x:v>
      </x:c>
      <x:c r="F277" s="3" t="str">
        <x:v>11</x:v>
      </x:c>
      <x:c r="G277" s="3" t="str">
        <x:v>1107A</x:v>
      </x:c>
      <x:c r="H277" s="8" t="str">
        <x:v>RUKO</x:v>
      </x:c>
      <x:c r="I277" s="8" t="str">
        <x:v>RUKO TÜRKİYE</x:v>
      </x:c>
      <x:c r="J277" s="8" t="str">
        <x:v>RUKO, 1974 yılında Almanya'da kurulmuş ve metal işleme sektöründe hassas kesici takımların geliştirilmesi ve üretiminde dünyanın önde gelen markalarından biri haline gelmiştir. Spiral matkaplar, kademeli matkaplar, havşalar, karot matkaplar ve özel kesici takımlar alanındaki uzmanlığıyla endüstriyel kullanıcılara yüksek performanslı çözümler sunmaktadır. Premium ULTIMATECUT ürün serisi, zorlu uygulamalarda maksimum hassasiyet, uzun takım ömrü ve üstün verimlilik sağlamaktadır. Sürekli teknoloji yatırımları sayesinde RUKO, üretim ve kalite standartlarını en üst seviyede tutarken sürdürülebilir üretim anlayışını da benimsemektedir. Almanya'daki modern üretim tesislerinde üretilen ürünler bugün dünyanın birçok ülkesinde kullanılmakta ve RUKO; kalite, güvenilirlik, hassasiyet ve inovasyonun simgesi olarak kabul edilmektedir.</x:v>
      </x:c>
    </x:row>
    <x:row r="278">
      <x:c r="A278" s="3" t="str">
        <x:v>RUBY MAKİNA SANAYİ TİCARET ANONİM ŞİRKETİ</x:v>
      </x:c>
      <x:c r="B278" s="3" t="str">
        <x:v>https://rubymakina.com/</x:v>
      </x:c>
      <x:c r="C278" s="3" t="str">
        <x:v>+904447829</x:v>
      </x:c>
      <x:c r="D278" s="3" t="str">
        <x:v>https://www.maktekfuari.com/brand/ruby-makina-sanayi-ticaret-anonim-sirketi</x:v>
      </x:c>
      <x:c r="E278" s="8" t="str">
        <x:v>Barbaros Mahallesi, Akzambak Sokak, Uphill Towers, B/70, 34746, Ataşehir, İstanbul</x:v>
      </x:c>
      <x:c r="F278" s="3" t="str">
        <x:v>11A</x:v>
      </x:c>
      <x:c r="G278" s="3" t="str">
        <x:v>34</x:v>
      </x:c>
      <x:c r="H278" s="8"/>
      <x:c r="I278" s="8"/>
      <x:c r="J278" s="8" t="str">
        <x:v>Ruby Makina A.Ş., merkezi operasyonlarını İstanbul’da yürüten, metal işleme teknolojilerine odaklanmış bir endüstriyel makine üreticisi ve tedarikçisidir. Plaka ve boru-profil lazer kesim makineleri, lazer kaynak makineleri, otomatik bükme merkezleri ve metal üç boyutlu yazıcı sistemlerini Türkiye sanayisine sunmakta; kalite anlayışıyla ülke sanayisinin rekabet gücünü artırmaktadır.</x:v>
      </x:c>
    </x:row>
    <x:row r="279">
      <x:c r="A279" s="3" t="str">
        <x:v>RUKO TÜRKİYE Temsilci Firma</x:v>
      </x:c>
      <x:c r="B279" s="3" t="str">
        <x:v>https://ruko.de/de</x:v>
      </x:c>
      <x:c r="C279" s="3" t="str">
        <x:v>‎+90 555 534 67 07</x:v>
      </x:c>
      <x:c r="D279" s="3" t="str">
        <x:v>https://www.maktekfuari.com/brand/ruko-turkiye</x:v>
      </x:c>
      <x:c r="E279" s="8" t="str">
        <x:v>BARBAROS BULVARI</x:v>
      </x:c>
      <x:c r="F279" s="3" t="str">
        <x:v>11</x:v>
      </x:c>
      <x:c r="G279" s="3" t="str">
        <x:v>1107A</x:v>
      </x:c>
      <x:c r="H279" s="8"/>
      <x:c r="I279" s="8"/>
      <x:c r="J279" s="8"/>
    </x:row>
    <x:row r="280">
      <x:c r="A280" s="3" t="str">
        <x:v>SAĞLAMLAR PUNTA KAYNAK OTOM. MAK. SAN. TİC. LTD. ŞTİ.</x:v>
      </x:c>
      <x:c r="B280" s="3" t="str">
        <x:v>https://www.saglammakina.com/</x:v>
      </x:c>
      <x:c r="C280" s="3" t="str">
        <x:v>‎+90 224 482 30 25</x:v>
      </x:c>
      <x:c r="D280" s="3" t="str">
        <x:v>https://www.maktekfuari.com/brand/saglamlar-punta-kaynak-otom-mak-san-tic-ltd-sti</x:v>
      </x:c>
      <x:c r="E280" s="8" t="str">
        <x:v>ÇALI MAHALLESİ KIRMIZI CADDE NO: 22A</x:v>
      </x:c>
      <x:c r="F280" s="3" t="str">
        <x:v>2</x:v>
      </x:c>
      <x:c r="G280" s="3" t="str">
        <x:v>223</x:v>
      </x:c>
      <x:c r="H280" s="8"/>
      <x:c r="I280" s="8"/>
      <x:c r="J280" s="8" t="str">
        <x:v>SAĞLAMLAR PUNTA KAYNAK; 1985 yılından beri kaynak sektörünün içinde olup Sağlam Makina markasıyla üretime başlamışlardırlar. SAĞLAMLAR PUNTA KAYNAK; Tamamen yerli mühendisliğin ve işgücünün yerel kaynakları etkili bir şekilde değerlendirmesiyle; ürün çeşitliliğini ve teknolojisini de arttırarak günümüze kadar gelmiş köklü bir firmadır. SAĞLAMLAR PUNTA KAYNAK; BURSA / ÇALI tesislerinde punta kaynak makineleri, dikiş kaynak makineleri, hasır tel ve panel çit punta kaynak makinelerinin yanı sıra müşterilerin talepleri doğrultusunda işe özel kaynak makineleri de üreterek sektöründe Türkiye’nin öncü kuruluşlarından birisidir.</x:v>
      </x:c>
    </x:row>
    <x:row r="281">
      <x:c r="A281" s="3" t="str">
        <x:v>ŞAHİNLER METAL MAKİNA ENDÜSTRİ A. Ş.</x:v>
      </x:c>
      <x:c r="B281" s="3" t="str">
        <x:v>https://www.sahinlermetal.com</x:v>
      </x:c>
      <x:c r="C281" s="3" t="str">
        <x:v>‎+90 224 470 01 58</x:v>
      </x:c>
      <x:c r="D281" s="3" t="str">
        <x:v>https://www.maktekfuari.com/brand/sahinler-metal-makina-endustri-a-s</x:v>
      </x:c>
      <x:c r="E281" s="8" t="str">
        <x:v>Balkan Mah. Mümin Gençoğlu Cad. No:14 Nilüfer / BURSA</x:v>
      </x:c>
      <x:c r="F281" s="3" t="str">
        <x:v>3</x:v>
      </x:c>
      <x:c r="G281" s="3" t="str">
        <x:v>303</x:v>
      </x:c>
      <x:c r="H281" s="8" t="str">
        <x:v>ŞAHİNLER METAL MAKİNA ENDÜSTRİ A.Ş.</x:v>
      </x:c>
      <x:c r="I281" s="8"/>
      <x:c r="J281" s="8" t="str">
        <x:v>1953 Yılında İsmail ŞAHİN ve İbrahim ŞAHİN kardeşler tarafından bir aile işletmesi olarak kurulan Şahinler Makina öncelikle tekstil makinaları ve dikiş makinaları üretmiş olup daha sonra 60’lı yıllarda kayışlı ve şanzımanlı matkap, destere ve 70’li yıllarda şahmerdan imalatına devam etmiştir. 1979 yılında Almanya’ya ilk ihracatını yapmıştır. 1980’den sonra anonim şirket olarak yeni yapılanmaya gitmiş ve sac işleme makinaları üretimine ağırlık vermiştir. Türkiye’de ilk olarak 1983 yılında PK-40 Profl - Boru Bükme Makinasını, 1989 yılında 3R HS 20 - 210 ilk Hidrolik 3 Toplu Silindir makinasını ve 1991 yılında ilk HKM - 45 Hidrolik Kombine Makas Tezgahlarını üretmiş ve ihracatını gerçekleştirmiştir. Sektöründe dünyadaki en büyük üreticilerinden biri olan Şahinler Makina bugün 25.000m2 kapalı alanda 3 ayrı fabrikası ve 250 personeli ile makina imalat sektöründe hizmet etmeye devam etmektedir. Dünyanın 85 ülkesine ihracat yapmaktadır.</x:v>
      </x:c>
    </x:row>
    <x:row r="282">
      <x:c r="A282" s="3" t="str">
        <x:v>SANAYİCİ ÜRÜNLERİ İLAN YAYIN REK. VE PAZ. LTD. ŞTİ.</x:v>
      </x:c>
      <x:c r="B282" s="3"/>
      <x:c r="C282" s="3"/>
      <x:c r="D282" s="3" t="str">
        <x:v>https://www.maktekfuari.com/brand/sanayici-urunleri-ilan-yayin-rek-ve-paz-ltd-sti</x:v>
      </x:c>
      <x:c r="E282" s="8"/>
      <x:c r="F282" s="3" t="str">
        <x:v>SalonNo</x:v>
      </x:c>
      <x:c r="G282" s="3" t="str">
        <x:v>StandNo</x:v>
      </x:c>
      <x:c r="H282" s="8"/>
      <x:c r="I282" s="8"/>
      <x:c r="J282" s="8"/>
    </x:row>
    <x:row r="283">
      <x:c r="A283" s="3" t="str">
        <x:v>SANPA ELEK. MALZ PAZ TİC.VE SAN. LTD. ŞTİ.</x:v>
      </x:c>
      <x:c r="B283" s="3"/>
      <x:c r="C283" s="3"/>
      <x:c r="D283" s="3" t="str">
        <x:v>https://www.maktekfuari.com/brand/sanpa-elek-malz-paz-ticve-san-ltd-sti</x:v>
      </x:c>
      <x:c r="E283" s="8"/>
      <x:c r="F283" s="3" t="str">
        <x:v>2</x:v>
      </x:c>
      <x:c r="G283" s="3" t="str">
        <x:v>210</x:v>
      </x:c>
      <x:c r="H283" s="8"/>
      <x:c r="I283" s="8"/>
      <x:c r="J283" s="8"/>
    </x:row>
    <x:row r="284">
      <x:c r="A284" s="3" t="str">
        <x:v>SARIGÖL KONVEYÖR SİST. MAK. YEDEK PARÇA NAK. İTH. İHR. SAN. VE TİC. LTD. ŞTİ.</x:v>
      </x:c>
      <x:c r="B284" s="3" t="str">
        <x:v>https://sarigolkonveyor.com/tr/</x:v>
      </x:c>
      <x:c r="C284" s="3" t="str">
        <x:v>‎+90 454 355 55 55</x:v>
      </x:c>
      <x:c r="D284" s="3" t="str">
        <x:v>https://www.maktekfuari.com/brand/sarigol-konveyor-sist-mak-yedek-parca-nak-ith-ihr-san-ve-tic-ltd-sti</x:v>
      </x:c>
      <x:c r="E284" s="8" t="str">
        <x:v>PAZARSUYU KÖYÜ 2. OSB 5. CAD. NO: 11</x:v>
      </x:c>
      <x:c r="F284" s="3" t="str">
        <x:v>11A</x:v>
      </x:c>
      <x:c r="G284" s="3" t="str">
        <x:v>36</x:v>
      </x:c>
      <x:c r="H284" s="8"/>
      <x:c r="I284" s="8"/>
      <x:c r="J284" s="8" t="str">
        <x:v>Yaklaşık 20 yıllık tecrübeye sahip firmamız, makine sektöründe güçlü bir konuma sahiptir. Yurt içindeki etkinliğimizin yanı sıra, başta Avrupa Birliği ülkeleri olmak üzere gerçekleştirdiğimiz ihracatla ülke ekonomisine katkı sağlıyoruz. Talaş dönüşüm sistemlerimiz sayesinde zararlı atıkları geri kazanılabilir hale getirerek çevresel etkileri azaltıyor; aynı zamanda soğutucu sıvıları yeniden kullanıma kazandırarak işletmelere maliyet avantajı sunuyoruz. Kalite odaklı üretim anlayışımız, müşteri memnuniyetine verdiğimiz önem ve Ar-Ge gücümüzle sektörde öne çıkıyoruz. Satış sonrası sunduğumuz kesintisiz teknik destek ile fark yaratırken, Türkiye’nin geleceğine olan inancımızla yatırımlarımıza kararlılıkla devam ediyoruz.</x:v>
      </x:c>
    </x:row>
    <x:row r="285">
      <x:c r="A285" s="3" t="str">
        <x:v>SCHAUMBURG MAKİNE TEKNOLOJİLERİ İMALATI İÇ VE DIŞ TİC. LTD.ŞTİ.</x:v>
      </x:c>
      <x:c r="B285" s="3"/>
      <x:c r="C285" s="3"/>
      <x:c r="D285" s="3" t="str">
        <x:v>https://www.maktekfuari.com/brand/schaumburg-makine-teknolojileri-imalati-ic-ve-dis-tic-ltdsti</x:v>
      </x:c>
      <x:c r="E285" s="8"/>
      <x:c r="F285" s="3" t="str">
        <x:v>12A</x:v>
      </x:c>
      <x:c r="G285" s="3" t="str">
        <x:v>30</x:v>
      </x:c>
      <x:c r="H285" s="8"/>
      <x:c r="I285" s="8"/>
      <x:c r="J285" s="8"/>
    </x:row>
    <x:row r="286">
      <x:c r="A286" s="3" t="str">
        <x:v>SEKTÖREL TANITIM GRUBU REKLAMCILIK VE TİC. LTD. ŞTİ.</x:v>
      </x:c>
      <x:c r="B286" s="3" t="str">
        <x:v>https://www.subconturkey.com.tr</x:v>
      </x:c>
      <x:c r="C286" s="3" t="str">
        <x:v>‎+90 212 607 28 22</x:v>
      </x:c>
      <x:c r="D286" s="3" t="str">
        <x:v>https://www.maktekfuari.com/brand/sektorel-tanitim-grubu-reklamcilik-ve-tic-ltd-sti</x:v>
      </x:c>
      <x:c r="E286" s="8" t="str">
        <x:v>Esenkent Mah. Sarmaşık Evler-(Özdeniz) Safir Sitesi, Yakup Cemil Sokak, No:11/C Giriş, Daire:1,</x:v>
      </x:c>
      <x:c r="F286" s="3" t="str">
        <x:v>SalonNo</x:v>
      </x:c>
      <x:c r="G286" s="3" t="str">
        <x:v>StandNo</x:v>
      </x:c>
      <x:c r="H286" s="8" t="str">
        <x:v>SUBCONTURKEY YANSANAYİ GAZETESİ</x:v>
      </x:c>
      <x:c r="I286" s="8"/>
      <x:c r="J286" s="8" t="str">
        <x:v>SUBCONTURKEY YAN SANAYİ ve TEDARİKÇİ GAZETESİ: 2003 yılından beri Türkiye’deki endüstriyel imalat sanayine (otomotiv, beyaz eşya, savunma, makina-metal işleme, kalıp, bağlantı elemanları, plastik ve kauçuk ana ve yan sanayisinde üretim yapan) ve alt sektörlerine her ay düzenli TÜRKÇE yayın yapmaktadır. Haber, makale ve reklamlarıyla hedef kitlesine ulaşmada uzman sektörel yayındır.</x:v>
      </x:c>
    </x:row>
    <x:row r="287">
      <x:c r="A287" s="3" t="str">
        <x:v>SELEN MAKİNE VE TEKN. HİZ.SAN.TİC.LTD.ŞTİ.</x:v>
      </x:c>
      <x:c r="B287" s="3" t="str">
        <x:v>https://selenmakine.com</x:v>
      </x:c>
      <x:c r="C287" s="3" t="str">
        <x:v>‎+90 549 490 41 00</x:v>
      </x:c>
      <x:c r="D287" s="3" t="str">
        <x:v>https://www.maktekfuari.com/brand/selen-makine-ve-tekn-hizsanticltdsti</x:v>
      </x:c>
      <x:c r="E287" s="8" t="str">
        <x:v>inönü mahallesi 1968 sokak no:36/A</x:v>
      </x:c>
      <x:c r="F287" s="3" t="str">
        <x:v>6</x:v>
      </x:c>
      <x:c r="G287" s="3" t="str">
        <x:v>621</x:v>
      </x:c>
      <x:c r="H287" s="8" t="str">
        <x:v>BLUM NOVOTEST</x:v>
      </x:c>
      <x:c r="I287" s="8" t="str">
        <x:v>BLUM NOVOTEST GMBH</x:v>
      </x:c>
      <x:c r="J287" s="8" t="str">
        <x:v>Cnc makine üzerinde Parça ve takım ölçme sistemleri</x:v>
      </x:c>
    </x:row>
    <x:row r="288">
      <x:c r="A288" s="3" t="str">
        <x:v>ŞENEL ENDÜSTRİ MAKİNA VE METAL SAN. TİC. A.Ş.</x:v>
      </x:c>
      <x:c r="B288" s="3" t="str">
        <x:v>https://www.senelmakina.com</x:v>
      </x:c>
      <x:c r="C288" s="3" t="str">
        <x:v>‎+90 532 724 20 22</x:v>
      </x:c>
      <x:c r="D288" s="3" t="str">
        <x:v>https://www.maktekfuari.com/brand/senel-endustri-makina-ve-metal-san-tic-as</x:v>
      </x:c>
      <x:c r="E288" s="8" t="str">
        <x:v>YAMANEVLER MAH. SİTEYOLU CAD. NO:8A/17</x:v>
      </x:c>
      <x:c r="F288" s="3" t="str">
        <x:v>10</x:v>
      </x:c>
      <x:c r="G288" s="3" t="str">
        <x:v>1002</x:v>
      </x:c>
      <x:c r="H288" s="8" t="str">
        <x:v>ŞENEL</x:v>
      </x:c>
      <x:c r="I288" s="8"/>
      <x:c r="J288" s="8" t="str">
        <x:v>1972' de kurulmuş olan firmamız masaüstü matkaplar, sütunlu matkaplar, kılavuz çekme matkapları, elektrikli kılavuz çekme makinaları ve solvent arıtma makinaları üretmektedir.</x:v>
      </x:c>
    </x:row>
    <x:row r="289">
      <x:c r="A289" s="3" t="str">
        <x:v>SENKRONİZE MÜHENDİSLİK MAKİNE SAN. VE TİC.A.Ş.</x:v>
      </x:c>
      <x:c r="B289" s="3" t="str">
        <x:v>https://spindleservis.com/</x:v>
      </x:c>
      <x:c r="C289" s="3" t="str">
        <x:v>‎+90 531 524 19 29</x:v>
      </x:c>
      <x:c r="D289" s="3" t="str">
        <x:v>https://www.maktekfuari.com/brand/senkronize-muhendislik-makine-san-ve-ticas</x:v>
      </x:c>
      <x:c r="E289" s="8" t="str">
        <x:v>Hasanağa OSB, Sanayi Cd No:56, 16280 Organize Sanayi Bölgesi/Ni·lüfer/Bursa</x:v>
      </x:c>
      <x:c r="F289" s="3" t="str">
        <x:v>6</x:v>
      </x:c>
      <x:c r="G289" s="3" t="str">
        <x:v>612A</x:v>
      </x:c>
      <x:c r="H289" s="8"/>
      <x:c r="I289" s="8"/>
      <x:c r="J289" s="8" t="str">
        <x:v>Senkronize Mühendislik, spindle bakım, onarım ve sıfırlama alanında uzmanlaşmış bir teknik servis firmasıdır. Talaşlı imalat sektörüne yönelik sunduğu yüksek hassasiyetli çözümlerle, spindle’ların performansını artırır ve üretimde sürekliliği güvence altına alır.</x:v>
      </x:c>
    </x:row>
    <x:row r="290">
      <x:c r="A290" s="3" t="str">
        <x:v>SES 3000 CNC TAKIM TEZG. BİLG. SİSTEMLERİ LTD. ŞTİ.</x:v>
      </x:c>
      <x:c r="B290" s="3" t="str">
        <x:v>https://www.ses3000.com/</x:v>
      </x:c>
      <x:c r="C290" s="3" t="str">
        <x:v>‎+90 212 674 25 08</x:v>
      </x:c>
      <x:c r="D290" s="3" t="str">
        <x:v>https://www.maktekfuari.com/brand/ses-3000-cnc-takim-tezg-bilg-sistemleri-ltd-sti</x:v>
      </x:c>
      <x:c r="E290" s="8" t="str">
        <x:v>Abdi İpekçi Cad. No:115/117 Bayrampaşa / İstanbul</x:v>
      </x:c>
      <x:c r="F290" s="3" t="str">
        <x:v>8</x:v>
      </x:c>
      <x:c r="G290" s="3" t="str">
        <x:v>803</x:v>
      </x:c>
      <x:c r="H290" s="8"/>
      <x:c r="I290" s="8" t="str">
        <x:v>YCM - YEONG CHIN MACHINERY INDUSTRIES CO., LTD; Mastercam - CNC Software, LLC; COORD3 Societa con Responsabilita\\ Limitata; DEX / TE-SHIN Precision Technology CO., LTD; TRIMILL A.S</x:v>
      </x:c>
      <x:c r="J290" s="8" t="str">
        <x:v>SES3000 CNC Takım Tezgahları ve Bilgisayar Sistemleri (CAD/CAM) Ltd. Şti., isminin getirdiği sorumluluk ile Satış, Eğitim ve Servis hizmetlerini kurulduğu 1994 yılından beri değerli sanayicilerimize sağlamayı görev edinmiştir. Hedefimiz; sağladığımız teknolojiler ile Türk sanayicisinin ve özellikle de KOBİ ‘lerin rekabet gücünü arttırmak, daha kaliteli ve verimli üretim yapmasını sağlamaktır. Bu düşünce ile firmamız müşterilerimize doğru zamanda doğru ürünleri sunmuştur ve maksimum hız ile eğitim, servis ve destek hizmetlerini vererek müşterilerimizin ÇÖZÜM ORTAĞI olmuştur.</x:v>
      </x:c>
    </x:row>
    <x:row r="291">
      <x:c r="A291" s="3" t="str">
        <x:v>SEZGİN LAZER MAKİNE SAN. VE TİC. LTD. ŞTİ.</x:v>
      </x:c>
      <x:c r="B291" s="3"/>
      <x:c r="C291" s="3"/>
      <x:c r="D291" s="3" t="str">
        <x:v>https://www.maktekfuari.com/brand/sezgin-lazer-makine-san-ve-tic-ltd-sti</x:v>
      </x:c>
      <x:c r="E291" s="8"/>
      <x:c r="F291" s="3" t="str">
        <x:v>2</x:v>
      </x:c>
      <x:c r="G291" s="3" t="str">
        <x:v>205</x:v>
      </x:c>
      <x:c r="H291" s="8"/>
      <x:c r="I291" s="8"/>
      <x:c r="J291" s="8"/>
    </x:row>
    <x:row r="292">
      <x:c r="A292" s="3" t="str">
        <x:v>SEZGİNLER MAKİNA SAN. VE TİC. A. Ş.</x:v>
      </x:c>
      <x:c r="B292" s="3" t="str">
        <x:v>https://sezginlermakina.com.tr/tr</x:v>
      </x:c>
      <x:c r="C292" s="3" t="str">
        <x:v>‎+90 224 443 44 22</x:v>
      </x:c>
      <x:c r="D292" s="3" t="str">
        <x:v>https://www.maktekfuari.com/brand/sezginler-makina-san-ve-tic-a-s</x:v>
      </x:c>
      <x:c r="E292" s="8" t="str">
        <x:v>ÜÇEVLER MAH. NİLTİM 65. SOK. NO: 4</x:v>
      </x:c>
      <x:c r="F292" s="3" t="str">
        <x:v>5</x:v>
      </x:c>
      <x:c r="G292" s="3" t="str">
        <x:v>509A</x:v>
      </x:c>
      <x:c r="H292" s="8" t="str">
        <x:v>FOREMAN; PAFTAR</x:v>
      </x:c>
      <x:c r="I292" s="8"/>
      <x:c r="J292" s="8" t="str">
        <x:v>1956'da merhum Muharrem Sezgin’in girişimiyle Trabzon'da hırdavat ve nalburiye satışı yapan “Sezgin Ticaret”in kurulmasıyla başlamıştır. 1982 yılında merhum Mehmet Ziya Sezgin’in vizyonuyla Bursa'da “Sezginler Makina A.Ş.” kurularak makine sektörüne güçlü bir adım atılmıştır. Başlangıçta iç piyasada büyüyen firmamız, 1984 yılında Yugoslavya'ya ilk ihracatını, 1986'da ise İtalya'dan ilk ithalatını gerçekleştirerek küresel pazara açılmıştır. 2001 yılından itibaren takım tezgahlarına yoğunlaşan firmamız, sektörün köklü markası Foreman’ın temellerini atmıştır. Büyüme ivmemiz; 2005'te kaldırma ekipmanları markamız Paftar ve 2016'da CNC üretimimiz olan Tazana ile devam etmiştir. 2013'te Nilüfer Ticaret Merkezi'ndeki 5000 metrekarelik dev merkeze taşınarak Türkiye’nin en büyük makine showroomunu hizmete açan şirketimiz, bugün üçüncü nesil temsilcimiz Hasan Sezgin'in yönetiminde yoluna devam etmektedir.</x:v>
      </x:c>
    </x:row>
    <x:row r="293">
      <x:c r="A293" s="3" t="str">
        <x:v>SHİNİL STARK MAKİNE SAN. LTD. ŞTİ.</x:v>
      </x:c>
      <x:c r="B293" s="3"/>
      <x:c r="C293" s="3"/>
      <x:c r="D293" s="3" t="str">
        <x:v>https://www.maktekfuari.com/brand/shinil-stark-makine-san-ltd-sti</x:v>
      </x:c>
      <x:c r="E293" s="8"/>
      <x:c r="F293" s="3" t="str">
        <x:v>12A</x:v>
      </x:c>
      <x:c r="G293" s="3" t="str">
        <x:v>44A</x:v>
      </x:c>
      <x:c r="H293" s="8"/>
      <x:c r="I293" s="8"/>
      <x:c r="J293" s="8"/>
    </x:row>
    <x:row r="294">
      <x:c r="A294" s="3" t="str">
        <x:v>SİMTED MAKİNA SAN.VE MAM.TİC.LTD.ŞTİ.</x:v>
      </x:c>
      <x:c r="B294" s="3" t="str">
        <x:v>https://www.simted.com/</x:v>
      </x:c>
      <x:c r="C294" s="3" t="str">
        <x:v>‎+90 212 222 61 12</x:v>
      </x:c>
      <x:c r="D294" s="3" t="str">
        <x:v>https://www.maktekfuari.com/brand/simted-makina-sanve-mamticltdsti</x:v>
      </x:c>
      <x:c r="E294" s="8" t="str">
        <x:v>Perpa Ticaret Merkezi A Blok Kat 11 No: 1377</x:v>
      </x:c>
      <x:c r="F294" s="3" t="str">
        <x:v>3</x:v>
      </x:c>
      <x:c r="G294" s="3" t="str">
        <x:v>309</x:v>
      </x:c>
      <x:c r="H294" s="8"/>
      <x:c r="I294" s="8" t="str">
        <x:v>SALVAGNINI GROUP; MATRIX SRL; TECNOSTAMP SRL</x:v>
      </x:c>
      <x:c r="J294" s="8" t="str">
        <x:v>Firmamız 1988 yılında kurulmuş olup, o tarihten itibaren uluslararası ticaretle iştigal etmektedir. Firmamızda iki temel grup olup bunlardan biri levha sac işleme makineleri, diğeri ise punch, abkant ve talaşlı imalat takımları bölümüdür. Levha sac işleme makineleri konusunda dünya lideri olan SALVAGNINI SPA firmasını temsil etmekte olduğumuzu, bu sayede esnek ve seri üretimi amaçlayan firmalarınıza üretim kalitesini iyileştirebilmeleri için birçok seçenek sunabildiğimizi belirtmek isteriz.</x:v>
      </x:c>
    </x:row>
    <x:row r="295">
      <x:c r="A295" s="3" t="str">
        <x:v>SİMTEK İTHALAT İHRACAT SAN. VE TİC. LTD. ŞTİ.</x:v>
      </x:c>
      <x:c r="B295" s="3" t="str">
        <x:v>https://www.simtek.com/turkiye</x:v>
      </x:c>
      <x:c r="C295" s="3" t="str">
        <x:v>‎+90 538 853 09 26</x:v>
      </x:c>
      <x:c r="D295" s="3" t="str">
        <x:v>https://www.maktekfuari.com/brand/simtek-ithalat-ihracat-san-ve-tic-ltd-sti</x:v>
      </x:c>
      <x:c r="E295" s="8" t="str">
        <x:v>SIMTEK İth. İhr. San. ve Tic. Ltd. Şti Yolören Mahallesi Yolören 52 Sokak. No:3 | TR-10310 Edremit</x:v>
      </x:c>
      <x:c r="F295" s="3" t="str">
        <x:v>11</x:v>
      </x:c>
      <x:c r="G295" s="3" t="str">
        <x:v>1159</x:v>
      </x:c>
      <x:c r="H295" s="8"/>
      <x:c r="I295" s="8"/>
      <x:c r="J295" s="8" t="str">
        <x:v>Simtek İhr. İth. San. ve Tic. Ltd. Şti. 1994 yılında Türkiye’de kuruldu. Dünyada beş farklı noktada yaklaşık 600 tutkulu çalışanı istihdam eden, Simtek grubunun merkezi bir parçası olan Simtek Türkiye; metal işleme, yüksek performanslı hassas karbür takımları geliştirmek ve en yüksek talepleri karşılamak için üretim ve satış tutkusuna odaklanmıştır. Merkez ofisimiz, Almanya Mössingen’de bulunmaktadır. Simtek olarak 48 farklı pazarda varlığımızı göstermekteyiz. Simtek; en yüksek talepleri karşılamak için yüksek performanslı hassas karbür takımların kısaltılmasıdır. Standart ürün yelpazesinde kanal açma, tornalama, frezeleme, diş açma, poligon frezeleme uygulamaları için yaklaşık 11.000 ürün bulunmaktadır. İç çaplarda 0,3 mm’den başlayan ve disk çapı 200 mm’e kadar olan disk frezelerimize kadar standart takımlarımız mevcuttur.</x:v>
      </x:c>
    </x:row>
    <x:row r="296">
      <x:c r="A296" s="3" t="str">
        <x:v>SİNTEK MÜHENDİSLİK MAK. SAN. VE TİC. LTD. ŞTİ.</x:v>
      </x:c>
      <x:c r="B296" s="3"/>
      <x:c r="C296" s="3"/>
      <x:c r="D296" s="3" t="str">
        <x:v>https://www.maktekfuari.com/brand/sintek-muhendislik-mak-san-ve-tic-ltd-sti</x:v>
      </x:c>
      <x:c r="E296" s="8"/>
      <x:c r="F296" s="3" t="str">
        <x:v>11</x:v>
      </x:c>
      <x:c r="G296" s="3" t="str">
        <x:v>1133</x:v>
      </x:c>
      <x:c r="H296" s="8"/>
      <x:c r="I296" s="8"/>
      <x:c r="J296" s="8"/>
    </x:row>
    <x:row r="297">
      <x:c r="A297" s="3" t="str">
        <x:v>SKA MAKİNA OTOM. İTH. İHR. SAN. VE TİC. LTD. ŞTİ.</x:v>
      </x:c>
      <x:c r="B297" s="3" t="str">
        <x:v>https://www.skamachine.com</x:v>
      </x:c>
      <x:c r="C297" s="3" t="str">
        <x:v>‎+90 537 953 21 14</x:v>
      </x:c>
      <x:c r="D297" s="3" t="str">
        <x:v>https://www.maktekfuari.com/brand/ska-makina-otom-ith-ihr-san-ve-tic-ltd-sti</x:v>
      </x:c>
      <x:c r="E297" s="8" t="str">
        <x:v>Fevziçakmak Mah. 10644. Sok. No: 40/B 42210</x:v>
      </x:c>
      <x:c r="F297" s="3" t="str">
        <x:v>11</x:v>
      </x:c>
      <x:c r="G297" s="3" t="str">
        <x:v>1164B</x:v>
      </x:c>
      <x:c r="H297" s="8"/>
      <x:c r="I297" s="8"/>
      <x:c r="J297" s="8" t="str">
        <x:v>SKA MAKİNA, endüstriyel otomasyon sistemlerinin verimliliğini ve makine performansını en üst düzeye çıkarmak amacıyla geliştirilmiş; hassas takım tutucular, CNC yumuşak ayaklar ve özel ekipmanlar üretiminde uzmanlaşmış bir firmadır. Müşteri memnuniyetini temel prensip olarak benimseyen SKA MAKİNA, kalite standartlarına bağlılığı, mühendislikteki derin uzmanlığı ve yenilikçi yaklaşımıyla, sektörün dinamik ihtiyaçlarına kalıcı çözümler sunmaktadır.</x:v>
      </x:c>
    </x:row>
    <x:row r="298">
      <x:c r="A298" s="3" t="str">
        <x:v>SMARTES TEKNOLOJİ YAZILIM DANIŞMANLIK SANAYİ VE TİCARET ANONİM ŞİRKETİ</x:v>
      </x:c>
      <x:c r="B298" s="3" t="str">
        <x:v>https://smartes.com.tr/</x:v>
      </x:c>
      <x:c r="C298" s="3" t="str">
        <x:v>‎+90 216 706 52 62</x:v>
      </x:c>
      <x:c r="D298" s="3" t="str">
        <x:v>https://www.maktekfuari.com/brand/smartes-teknoloji-yazilim-danismanlik-sanayi-ve-ticaret-anonim-sirketi</x:v>
      </x:c>
      <x:c r="E298" s="8" t="str">
        <x:v>Cumhuriyet mah. Kartepe sok. No:4/6 Usta Ofis</x:v>
      </x:c>
      <x:c r="F298" s="3" t="str">
        <x:v>12</x:v>
      </x:c>
      <x:c r="G298" s="3" t="str">
        <x:v>1221</x:v>
      </x:c>
      <x:c r="H298" s="8" t="str">
        <x:v>SmartFactory</x:v>
      </x:c>
      <x:c r="I298" s="8"/>
      <x:c r="J298" s="8" t="str">
        <x:v>Üretim sahalarında edinilen uzun yıllara dayanan deneyim, makinelerin çalıstıgını ancak üretimin gerçek verisinin çogu zaman görünmez kaldıgını ortaya koydu. Dagınık bilgiler ve manuel takip yöntemleri, üretimi anlamayı ve gelistirmeyi zorlastırıyordu. Bu ihtiyaç, üretimi daha seffaf ve izlenebilir hale getirecek bir sistem gelistirme krini dogurdu. SmartFactory, üretim süreçlerini dogrudan sahadan, oldugu gibi izleyebilmek ve anlamlandırabilmek amacıyla gelistirildi. Temelinde, üretimi yalnızca takip etmek degil, dogru verilerle anlamak ve sürekli gelisimi mümkün kılmak anlayısı yer alır. SmartFactory, üretimin içinde dogmus bir krin sonucudur. Bugün SmartFactory, üretim tecrübesi ve mühendislik yaklasımının birlesimiyle gelismeye devam eden, üretimi daha görünür ve yönetilebilir hale getirmeyi amaçlayan bir teknoloji markasıdır.</x:v>
      </x:c>
    </x:row>
    <x:row r="299">
      <x:c r="A299" s="3" t="str">
        <x:v>SMOXH CUTTING TOOLS Temsilci Firma</x:v>
      </x:c>
      <x:c r="B299" s="3" t="str">
        <x:v>https://www.smoxh.com.tr</x:v>
      </x:c>
      <x:c r="C299" s="3" t="str">
        <x:v>‎+90 332 251 21 78</x:v>
      </x:c>
      <x:c r="D299" s="3" t="str">
        <x:v>https://www.maktekfuari.com/brand/smoxh-cutting-tools</x:v>
      </x:c>
      <x:c r="E299" s="8" t="str">
        <x:v>Büyükkayacık Mah. 5.OSB 502. Sk. No:6 - 42250 Selcuklu / KONYA / TÜRKİYE</x:v>
      </x:c>
      <x:c r="F299" s="3" t="str">
        <x:v>11</x:v>
      </x:c>
      <x:c r="G299" s="3" t="str">
        <x:v>1161</x:v>
      </x:c>
      <x:c r="H299" s="8"/>
      <x:c r="I299" s="8"/>
      <x:c r="J299" s="8"/>
    </x:row>
    <x:row r="300">
      <x:c r="A300" s="3" t="str">
        <x:v>SMW AUTOBLOK MAK.SAN. VE TİC.LTD.ŞTİ.</x:v>
      </x:c>
      <x:c r="B300" s="3" t="str">
        <x:v>https://www.smwautoblok.com/</x:v>
      </x:c>
      <x:c r="C300" s="3" t="str">
        <x:v>‎+90 544 127 26 67</x:v>
      </x:c>
      <x:c r="D300" s="3" t="str">
        <x:v>https://www.maktekfuari.com/brand/smw-autoblok-maksan-ve-ticltdsti</x:v>
      </x:c>
      <x:c r="E300" s="8" t="str">
        <x:v>Yenişehir Mah, Osmanlı Blv, Volume Kurtköy Ofis No:9 Kat:2 D:30</x:v>
      </x:c>
      <x:c r="F300" s="3" t="str">
        <x:v>11</x:v>
      </x:c>
      <x:c r="G300" s="3" t="str">
        <x:v>1120</x:v>
      </x:c>
      <x:c r="H300" s="8"/>
      <x:c r="I300" s="8" t="str">
        <x:v>Autoblok S.p.A.</x:v>
      </x:c>
      <x:c r="J300" s="8"/>
    </x:row>
    <x:row r="301">
      <x:c r="A301" s="3" t="str">
        <x:v>Socomec Temsilci Firma</x:v>
      </x:c>
      <x:c r="B301" s="3" t="str">
        <x:v>https://www.socomec.com/</x:v>
      </x:c>
      <x:c r="C301" s="3" t="str">
        <x:v>‎+90 850 226 88 05</x:v>
      </x:c>
      <x:c r="D301" s="3" t="str">
        <x:v>https://www.maktekfuari.com/brand/socomec</x:v>
      </x:c>
      <x:c r="E301" s="8" t="str">
        <x:v>Yukarı Dudullu, Türker Cad./beyan Sok. No:38, 34775 Ümraniye/İstanbul</x:v>
      </x:c>
      <x:c r="F301" s="3" t="str">
        <x:v>11A</x:v>
      </x:c>
      <x:c r="G301" s="3" t="str">
        <x:v>41</x:v>
      </x:c>
      <x:c r="H301" s="8"/>
      <x:c r="I301" s="8"/>
      <x:c r="J301" s="8"/>
    </x:row>
    <x:row r="302">
      <x:c r="A302" s="3" t="str">
        <x:v>SOLİDCUT KESİCİ TAKIMLAR HIRDAVAT SAN. VE TİC. LTD. ŞTİ.</x:v>
      </x:c>
      <x:c r="B302" s="3"/>
      <x:c r="C302" s="3"/>
      <x:c r="D302" s="3" t="str">
        <x:v>https://www.maktekfuari.com/brand/solidcut-kesici-takimlar-hirdavat-san-ve-tic-ltd-sti</x:v>
      </x:c>
      <x:c r="E302" s="8"/>
      <x:c r="F302" s="3" t="str">
        <x:v>11</x:v>
      </x:c>
      <x:c r="G302" s="3" t="str">
        <x:v>1101B</x:v>
      </x:c>
      <x:c r="H302" s="8"/>
      <x:c r="I302" s="8"/>
      <x:c r="J302" s="8"/>
    </x:row>
    <x:row r="303">
      <x:c r="A303" s="3" t="str">
        <x:v>SPİNNER TAKIM TEZGAHLARI SAN VE TİC LTD ŞTİ</x:v>
      </x:c>
      <x:c r="B303" s="3" t="str">
        <x:v>https://www.spinner.eu.com</x:v>
      </x:c>
      <x:c r="C303" s="3" t="str">
        <x:v>‎+90 555 465 26 19</x:v>
      </x:c>
      <x:c r="D303" s="3" t="str">
        <x:v>https://www.maktekfuari.com/brand/spinner-takim-tezgahlari-san-ve-tic-ltd-sti</x:v>
      </x:c>
      <x:c r="E303" s="8" t="str">
        <x:v>Harmandere Mah. Ankara Cad. Erguvan No:488G Kurtköy</x:v>
      </x:c>
      <x:c r="F303" s="3" t="str">
        <x:v>8</x:v>
      </x:c>
      <x:c r="G303" s="3" t="str">
        <x:v>811</x:v>
      </x:c>
      <x:c r="H303" s="8" t="str">
        <x:v>SPINNER</x:v>
      </x:c>
      <x:c r="I303" s="8"/>
      <x:c r="J303" s="8" t="str">
        <x:v>SPINNER Werkzeugmaschinenfabrik GmbH, 1949 yılında Münih’te kurulmuştur. 1978 yılına kadar kam kontrollü hassas torna tezgahları üreten şirket, bu tarihten sonra yüksek hassasiyetli CNC torna tezgahlarına geçiş yapmıştır. 1992’den itibaren CNC işleme merkezleri üretimine başlamış, 2002 yılında SPINNER Automation ile büyümesini hızlandırmıştır. Bugün SPINNER; 5 üretim tesisi, 15 ülkede satış şirketi ve 60 ülkede satış sonrası hizmet ağı ile yılda 1.200 CNC tezgahı üretmektedir ve global ölçekte sektörün önde gelen firmaları arasında yer almaktadır. SPINNER Türkiye, 1 Mart 2000’de İstanbul Endüstri ve Ticaret Serbest Bölgesi’nde 15.000 m² alanda kurulmuş olup CNC takım tezgahlarının projelendirme, üretim ve satış sonrası hizmetlerini sunmaktadır. 2020 yılında Bulgaristan’da açılan 12.000 m²’lik tesis, yıllık 500 makine üretiminin yanı sıra Avrupa için uygulama ve servis, dünya için yedek parça hizmeti sağlamaktadır.</x:v>
      </x:c>
    </x:row>
    <x:row r="304">
      <x:c r="A304" s="3" t="str">
        <x:v>SPT CNC MAKİNA SAN. VE TİC. A.Ş.</x:v>
      </x:c>
      <x:c r="B304" s="3" t="str">
        <x:v>http://www.sptmak.com/</x:v>
      </x:c>
      <x:c r="C304" s="3" t="str">
        <x:v>‎+90 216 314 24 74</x:v>
      </x:c>
      <x:c r="D304" s="3" t="str">
        <x:v>https://www.maktekfuari.com/brand/spt-cnc-makina-san-ve-tic-as</x:v>
      </x:c>
      <x:c r="E304" s="8" t="str">
        <x:v>Ferhatpaşa Mah. 18. Sok. No: 19-21</x:v>
      </x:c>
      <x:c r="F304" s="3" t="str">
        <x:v>12</x:v>
      </x:c>
      <x:c r="G304" s="3" t="str">
        <x:v>1227</x:v>
      </x:c>
      <x:c r="H304" s="8"/>
      <x:c r="I304" s="8" t="str">
        <x:v>PRECISION TSUGAMI</x:v>
      </x:c>
      <x:c r="J304" s="8"/>
    </x:row>
    <x:row r="305">
      <x:c r="A305" s="3" t="str">
        <x:v>SRK OTOMOTİV YAN SAN. VE TİC. A.Ş.</x:v>
      </x:c>
      <x:c r="B305" s="3"/>
      <x:c r="C305" s="3"/>
      <x:c r="D305" s="3" t="str">
        <x:v>https://www.maktekfuari.com/brand/srk-otomotiv-yan-san-ve-tic-as</x:v>
      </x:c>
      <x:c r="E305" s="8"/>
      <x:c r="F305" s="3" t="str">
        <x:v>12A</x:v>
      </x:c>
      <x:c r="G305" s="3" t="str">
        <x:v>04</x:v>
      </x:c>
      <x:c r="H305" s="8"/>
      <x:c r="I305" s="8"/>
      <x:c r="J305" s="8"/>
    </x:row>
    <x:row r="306">
      <x:c r="A306" s="3" t="str">
        <x:v>STAR TURKEY CNC MAKİNA SAN. TİC. LTD. ŞTİ.</x:v>
      </x:c>
      <x:c r="B306" s="3" t="str">
        <x:v>https://starcncmakina.com.tr/</x:v>
      </x:c>
      <x:c r="C306" s="3" t="str">
        <x:v>‎+90 216 376 73 73</x:v>
      </x:c>
      <x:c r="D306" s="3" t="str">
        <x:v>https://www.maktekfuari.com/brand/star-turkey-cnc-makina-san-tic-ltd-sti</x:v>
      </x:c>
      <x:c r="E306" s="8" t="str">
        <x:v>Orta Mah. Marifet Sok. No : 6 / 28 Kartal / İstanbul</x:v>
      </x:c>
      <x:c r="F306" s="3" t="str">
        <x:v>9</x:v>
      </x:c>
      <x:c r="G306" s="3" t="str">
        <x:v>910</x:v>
      </x:c>
      <x:c r="H306" s="8" t="str">
        <x:v>STAR</x:v>
      </x:c>
      <x:c r="I306" s="8"/>
      <x:c r="J306" s="8" t="str">
        <x:v>STAR CNC KAYAR OTOMAT TÜRKİYE DİSTRİBÜTÖRÜ. Satış, Servis ve yedek parça</x:v>
      </x:c>
    </x:row>
    <x:row r="307">
      <x:c r="A307" s="3" t="str">
        <x:v>STARRETT IND&amp;COM LTDA Temsilci Firma</x:v>
      </x:c>
      <x:c r="B307" s="3" t="str">
        <x:v>https://www.starrett.com.br</x:v>
      </x:c>
      <x:c r="C307" s="3" t="str">
        <x:v>‎+90 533 935 31 31</x:v>
      </x:c>
      <x:c r="D307" s="3" t="str">
        <x:v>https://www.maktekfuari.com/brand/starrett-indcom-ltda</x:v>
      </x:c>
      <x:c r="E307" s="8" t="str">
        <x:v>ERBİLLER SAN.SİT.B B LOK NO:3</x:v>
      </x:c>
      <x:c r="F307" s="3" t="str">
        <x:v>2</x:v>
      </x:c>
      <x:c r="G307" s="3" t="str">
        <x:v>225A</x:v>
      </x:c>
      <x:c r="H307" s="8"/>
      <x:c r="I307" s="8"/>
      <x:c r="J307" s="8"/>
    </x:row>
    <x:row r="308">
      <x:c r="A308" s="3" t="str">
        <x:v>SUDE YAYINCILIK - TİMUR OLGUN</x:v>
      </x:c>
      <x:c r="B308" s="3" t="str">
        <x:v>http://www.sudeyayincilik.com/</x:v>
      </x:c>
      <x:c r="C308" s="3" t="str">
        <x:v>‎+90 212 612 09 48</x:v>
      </x:c>
      <x:c r="D308" s="3" t="str">
        <x:v>https://www.maktekfuari.com/brand/sude-yayincilik-timur-olgun</x:v>
      </x:c>
      <x:c r="E308" s="8" t="str">
        <x:v>İSMETPAŞA MAHALLESİ ABDİ İPEKÇİ CADDESİ KAMER SOKAK SADIK İŞ MERKEZİ NO: 2 D. 7</x:v>
      </x:c>
      <x:c r="F308" s="3" t="str">
        <x:v>SalonNo</x:v>
      </x:c>
      <x:c r="G308" s="3" t="str">
        <x:v>StandNo</x:v>
      </x:c>
      <x:c r="H308" s="8"/>
      <x:c r="I308" s="8"/>
      <x:c r="J308" s="8" t="str">
        <x:v>PACKWORLD TÜRKİYE DERGİSİ; ambalaj, plastik, gıda, makine ve otomasyon sistemlerinin aylık yayın dergisidir. Sektör içerisinde 25. yılında da seçkin kadrosuyla etkin, sektörel sorumluluk bilinci ile kalitesini sürekli yükselterek, ilkeli yayıncılığı sürdürmeyi hedeflemektedir.</x:v>
      </x:c>
    </x:row>
    <x:row r="309">
      <x:c r="A309" s="3" t="str">
        <x:v>SUNTON MAKİNA DIŞ TİCARET ANONİM ŞİRKETİ</x:v>
      </x:c>
      <x:c r="B309" s="3"/>
      <x:c r="C309" s="3"/>
      <x:c r="D309" s="3" t="str">
        <x:v>https://www.maktekfuari.com/brand/sunton-makina-dis-ticaret-anonim-sirketi</x:v>
      </x:c>
      <x:c r="E309" s="8"/>
      <x:c r="F309" s="3" t="str">
        <x:v>11A</x:v>
      </x:c>
      <x:c r="G309" s="3" t="str">
        <x:v>16</x:v>
      </x:c>
      <x:c r="H309" s="8"/>
      <x:c r="I309" s="8"/>
      <x:c r="J309" s="8"/>
    </x:row>
    <x:row r="310">
      <x:c r="A310" s="3" t="str">
        <x:v>SURTEK MAKİNA SANAYİ VE TİCARET LİMİTED ŞİRKETİ</x:v>
      </x:c>
      <x:c r="B310" s="3" t="str">
        <x:v>https://www.surtek.com.tr/</x:v>
      </x:c>
      <x:c r="C310" s="3" t="str">
        <x:v>‎+90 212 516 33 84</x:v>
      </x:c>
      <x:c r="D310" s="3" t="str">
        <x:v>https://www.maktekfuari.com/brand/surtek-makina-sanayi-ve-ticaret-limited-sirketi</x:v>
      </x:c>
      <x:c r="E310" s="8" t="str">
        <x:v>Yenibosna Merkez Mahallesi, Ladin Sokak, Kuyumcukent Atölye Bloğu 1.Kat 4.Sok No:5, Bahçelievler/İstanbul</x:v>
      </x:c>
      <x:c r="F310" s="3" t="str">
        <x:v>11</x:v>
      </x:c>
      <x:c r="G310" s="3" t="str">
        <x:v>1162</x:v>
      </x:c>
      <x:c r="H310" s="8"/>
      <x:c r="I310" s="8"/>
      <x:c r="J310" s="8" t="str">
        <x:v>Surtek, 2005 yılında yüzey finisaj teknolojilerinde dünya lideri olan OTEC Präzisionsfinish GmbH’nin Türkiye’deki tek yetkili temsilcisi olarak faaliyetlerine başlamıştır. Kuruluşundan bu yana, sektördeki uzmanlığını ve çözüm gücünü sürekli geliştirerek portföyünü ELMA Schmidbauer GmbH, Miele Professional, Taumac SRL, EVT Eiberger Verfahrenstechnik GmbH ve BVL Oberflächentechnik GmbH gibi alanında öncü markalarla genişletmiştir. Bugün Surtek; Türkiye’den Orta Doğu’ya, Batı Avrupa’dan Körfez Ülkeleri ve Güneydoğu Asya’ya uzanan geniş bir coğrafyada, parlatma, endüstriyel temizlik, çapak alma ve benzeri yüzey işlem teknolojileri alanlarında güvenilir, yenilikçi ve kapsamlı çözümler sunmaktadır. Müşteri odaklı yaklaşımı, teknik uzmanlığı ve güçlü iş ortaklıklarıyla Surtek, yüzey işlem teknolojilerinde yüksek kalite ve sürdürülebilir performansı bir araya getirmektedir.</x:v>
      </x:c>
    </x:row>
    <x:row r="311">
      <x:c r="A311" s="3" t="str">
        <x:v>SVR SEVER MAKİNE SANAYİ VE TİCARET ANONİM ŞİRKETİ</x:v>
      </x:c>
      <x:c r="B311" s="3"/>
      <x:c r="C311" s="3"/>
      <x:c r="D311" s="3" t="str">
        <x:v>https://www.maktekfuari.com/brand/svr-sever-makine-sanayi-ve-ticaret-anonim-sirketi</x:v>
      </x:c>
      <x:c r="E311" s="8"/>
      <x:c r="F311" s="3" t="str">
        <x:v>11A</x:v>
      </x:c>
      <x:c r="G311" s="3" t="str">
        <x:v>51</x:v>
      </x:c>
      <x:c r="H311" s="8"/>
      <x:c r="I311" s="8"/>
      <x:c r="J311" s="8"/>
    </x:row>
    <x:row r="312">
      <x:c r="A312" s="3" t="str">
        <x:v>SW MAKİNE TÜRKİYE TİC. LTD. ŞTİ.</x:v>
      </x:c>
      <x:c r="B312" s="3" t="str">
        <x:v>https://sw-machines.com/</x:v>
      </x:c>
      <x:c r="C312" s="3" t="str">
        <x:v>‎+90 542 896 17 15</x:v>
      </x:c>
      <x:c r="D312" s="3" t="str">
        <x:v>https://www.maktekfuari.com/brand/sw-makine-turkiye-tic-ltd-sti</x:v>
      </x:c>
      <x:c r="E312" s="8" t="str">
        <x:v>SW Makine Ticaret Limited Şirketi Cumhuriyet, 9138. Sk. No:12B | 35735 Kemalpaşa/İzmir Türkiye</x:v>
      </x:c>
      <x:c r="F312" s="3" t="str">
        <x:v>10</x:v>
      </x:c>
      <x:c r="G312" s="3" t="str">
        <x:v>1003</x:v>
      </x:c>
      <x:c r="H312" s="8" t="str">
        <x:v>SW</x:v>
      </x:c>
      <x:c r="I312" s="8" t="str">
        <x:v>SW</x:v>
      </x:c>
      <x:c r="J312" s="8" t="str">
        <x:v>Schwäbische Werkzeugmaschinen GmbH. SW Machines Germany Almanya'nın güneyinde, CNC yatay işleme merkezleri üreten, tek iş milli, çok iş milli, çift tabla, dört eksen ve beş eksen makineler üreten bir kuruluştur. Otomotiv, Traktör, Havacılık ve savunma sanayi, Medikal ve saat endüstrisine hizmet eden bir işletmedir. SW Makine Türkiye ise bu kuruluşun bir kurumudur.</x:v>
      </x:c>
    </x:row>
    <x:row r="313">
      <x:c r="A313" s="3" t="str">
        <x:v>SWİSS TEKNİK TAKIM TEKNOLOJİLERİ SAN VE TİC LTD. ŞTİ.</x:v>
      </x:c>
      <x:c r="B313" s="3"/>
      <x:c r="C313" s="3"/>
      <x:c r="D313" s="3" t="str">
        <x:v>https://www.maktekfuari.com/brand/swiss-teknik-takim-teknolojileri-san-ve-tic-ltd-sti</x:v>
      </x:c>
      <x:c r="E313" s="8"/>
      <x:c r="F313" s="3" t="str">
        <x:v>11</x:v>
      </x:c>
      <x:c r="G313" s="3" t="str">
        <x:v>1137</x:v>
      </x:c>
      <x:c r="H313" s="8"/>
      <x:c r="I313" s="8"/>
      <x:c r="J313" s="8"/>
    </x:row>
    <x:row r="314">
      <x:c r="A314" s="3" t="str">
        <x:v>T.Ş.T. LİFT AMORTİSÖR OTOM. YED. PAR. SAN. TİC. LTD. ŞTİ.</x:v>
      </x:c>
      <x:c r="B314" s="3" t="str">
        <x:v>https://tstlift.com/</x:v>
      </x:c>
      <x:c r="C314" s="3" t="str">
        <x:v>‎+90 224 215 21 12</x:v>
      </x:c>
      <x:c r="D314" s="3" t="str">
        <x:v>https://www.maktekfuari.com/brand/tst-lift-amortisor-otom-yed-par-san-tic-ltd-sti</x:v>
      </x:c>
      <x:c r="E314" s="8" t="str">
        <x:v>Nilüfer Org. San. Bölg. N. 201 Sok. No: 16 Nilüfer</x:v>
      </x:c>
      <x:c r="F314" s="3" t="str">
        <x:v>6</x:v>
      </x:c>
      <x:c r="G314" s="3" t="str">
        <x:v>609B</x:v>
      </x:c>
      <x:c r="H314" s="8"/>
      <x:c r="I314" s="8"/>
      <x:c r="J314" s="8" t="str">
        <x:v>Biz Bursa Nilüfer Organize Sanayi Bölgesinde NİTRASYON, ARCOR, ÇİNKO, OKSİDASYON ( KARARTMA ), PAS ALMA, YAĞ ALMA yüzey işlemleri yapmaktayız. Firmamızın laboratuvarında donanımlı kimyagerlerimiz tarafından analizlerimiz eksiksiz yapılarak talep etmiş olduğunuz tüm raporlar sizlere sunulmaktadır. Fabrikamız 7200 m² araziye kurulmuş olup 1300 m² alanı kaplamaya aittir. ISO 9001, ISO 14001, ISO 16949 Kalite belgelerimiz mevcuttur. Kaplama bölümümüz 24 saat hizmet vermektedir.</x:v>
      </x:c>
    </x:row>
    <x:row r="315">
      <x:c r="A315" s="3" t="str">
        <x:v>TALHA TEKNİK HIRDAVAT SANAYİ VE TİC. LTD. ŞTİ.</x:v>
      </x:c>
      <x:c r="B315" s="3" t="str">
        <x:v>https://www.talhateknik.com.tr</x:v>
      </x:c>
      <x:c r="C315" s="3" t="str">
        <x:v>‎+90 533 655 88 32</x:v>
      </x:c>
      <x:c r="D315" s="3" t="str">
        <x:v>https://www.maktekfuari.com/brand/talha-teknik-hirdavat-sanayi-ve-tic-ltd-sti</x:v>
      </x:c>
      <x:c r="E315" s="8" t="str">
        <x:v>İKİTELLİ OSB. MAH. FATİH SANAYİ SİTESİ 2A BLOK NO:1 34490</x:v>
      </x:c>
      <x:c r="F315" s="3" t="str">
        <x:v>11</x:v>
      </x:c>
      <x:c r="G315" s="3" t="str">
        <x:v>1113</x:v>
      </x:c>
      <x:c r="H315" s="8" t="str">
        <x:v>ERİC; HÜGEL</x:v>
      </x:c>
      <x:c r="I315" s="8"/>
      <x:c r="J315" s="8" t="str">
        <x:v>1988 yılından bu yana edindiğimiz tecrübe ve birikimi, 2020 yılında Talha Teknik Hırdavat markası altında birleştirerek faaliyetlerimize güçlü bir şekilde devam etmekteyiz. Teknik hırdavat ve kesici takım sektöründe faaliyet gösteren firmamız, müşterilerine kaliteli, güvenilir ve sürdürülebilir çözümler sunmayı ilke edinmiştir. Gelişen teknoloji ve sektör ihtiyaçları doğrultusunda, her geçen yıl kendi markalarımızla ürün gamımızı genişleterek pazardaki konumumuzu güçlendirmekteyiz. Bunun yanı sıra, Avrupa ve Uzak Doğu’da faaliyet gösteren global firmaların distribütörlüğünü üstlenerek, uluslararası kalite standartlarına sahip ürünleri müşterilerimizle buluşturuyoruz. Güven, kalite ve sürekliliği bir araya getirerek, iş ortaklarımızla birlikte büyümeyi ve uzun vadeli başarılar elde etmeyi hedefliyoruz.</x:v>
      </x:c>
    </x:row>
    <x:row r="316">
      <x:c r="A316" s="3" t="str">
        <x:v>TANDEM TAKIM TEZGAHLARI SAN VE TİC LTD ŞTİ</x:v>
      </x:c>
      <x:c r="B316" s="3" t="str">
        <x:v>https://tandem.com.tr/</x:v>
      </x:c>
      <x:c r="C316" s="3" t="str">
        <x:v>‎+90 216 313 14 13</x:v>
      </x:c>
      <x:c r="D316" s="3" t="str">
        <x:v>https://www.maktekfuari.com/brand/tandem-takim-tezgahlari-san-ve-tic-ltd-sti</x:v>
      </x:c>
      <x:c r="E316" s="8" t="str">
        <x:v>Dudullu Organize San. Bölgesi İmes A Blok 103. Sok. No: 134776 Ümraniye</x:v>
      </x:c>
      <x:c r="F316" s="3" t="str">
        <x:v>10, 10</x:v>
      </x:c>
      <x:c r="G316" s="3" t="str">
        <x:v>1005, 1015</x:v>
      </x:c>
      <x:c r="H316" s="8"/>
      <x:c r="I316" s="8" t="str">
        <x:v>INDEX; NOMURA DS; KITAGAWA EUROPE; NAKANISHI; ROSA; MILLUTENSIL; SHIMADA; ONE CLICK METAL</x:v>
      </x:c>
      <x:c r="J316" s="8" t="str">
        <x:v>Tandem Takım Tezgahları San. ve Tic. Ltd. Şti., CNC Takım Tezgahlarında satış, proje ve teknik servis alanlarında deneyim sahibi ve uzmanlaşmış olan Tankut KOÇAK ve Ertan GÜNEY tarafından kurulmuştur. 2006 yılından itibaren güçlü markaları bünyesine alarak makine ve iş bağlama ekipmanları sektörüne çok yönlü çözümler sunmaya devam etmektedir. Firmamız, makina sanayi takım tezgahları alanında, gerek CNC makine gerek CNC freze konularında anahtar teslim projeler ve satış sonrası teknik destek hizmetleri ile sektörde farklılık yaratmaktadır. Hedef sektörlerimiz talaşlı imalat ile üretim yapan çeşitli sanayi kollarıdır. Otomotiv yan sanayi, tekstil makine üreticileri, tarım makine üreticileri, bağlantı elemanları sektörü, medikal, havacılık , savunma sanayi, kalıp sektörü, aksesuar üreticileri bunlardan sadece bir kaçıdır. Tandem Takım Tezgahları, uzman kadrosu ile CNC takım tezgahları makina sektörüne zamanında ve güvenilir mühendislik çözümleri üretmeyi amaç edinmiştir.</x:v>
      </x:c>
    </x:row>
    <x:row r="317">
      <x:c r="A317" s="3" t="str">
        <x:v>TECUS CNC MAKİNA SANAYİ TİCARET AŞ</x:v>
      </x:c>
      <x:c r="B317" s="3" t="str">
        <x:v>https://tecus.com.tr/haas_parca_servis/</x:v>
      </x:c>
      <x:c r="C317" s="3" t="str">
        <x:v>‎+90 538 351 31 63</x:v>
      </x:c>
      <x:c r="D317" s="3" t="str">
        <x:v>https://www.maktekfuari.com/brand/tecus-cnc-makina-sanayi-ticaret-as</x:v>
      </x:c>
      <x:c r="E317" s="8" t="str">
        <x:v>Ostim OSB, 1187. Sk. No:34, 06374 Yenimahalle/Ankara, Türkiye</x:v>
      </x:c>
      <x:c r="F317" s="3" t="str">
        <x:v>7</x:v>
      </x:c>
      <x:c r="G317" s="3" t="str">
        <x:v>717</x:v>
      </x:c>
      <x:c r="H317" s="8"/>
      <x:c r="I317" s="8" t="str">
        <x:v>Haas</x:v>
      </x:c>
      <x:c r="J317" s="8"/>
    </x:row>
    <x:row r="318">
      <x:c r="A318" s="3" t="str">
        <x:v>TEKİŞ TEKNİK EROZYON KALIP SAN. VE TİC. A.Ş.</x:v>
      </x:c>
      <x:c r="B318" s="3" t="str">
        <x:v>https://www.tekiskalip.com.tr/</x:v>
      </x:c>
      <x:c r="C318" s="3" t="str">
        <x:v>‎+90 532 457 84 07</x:v>
      </x:c>
      <x:c r="D318" s="3" t="str">
        <x:v>https://www.maktekfuari.com/brand/tekis-teknik-erozyon-kalip-san-ve-tic-as</x:v>
      </x:c>
      <x:c r="E318" s="8" t="str">
        <x:v>TOSB-TAYSAD 1. Cad. 14. Sok. No. 5</x:v>
      </x:c>
      <x:c r="F318" s="3" t="str">
        <x:v>7</x:v>
      </x:c>
      <x:c r="G318" s="3" t="str">
        <x:v>718</x:v>
      </x:c>
      <x:c r="H318" s="8"/>
      <x:c r="I318" s="8"/>
      <x:c r="J318" s="8" t="str">
        <x:v>40 yıllık kalıp üretim tecrübemizi, yüksek hassasiyetli talaşlı imalat çözümlerine dönüştürerek geliştirdiğimiz CNC makinelerimiz, yerli mühendislik gücü ve sahada test edilmiş performanslarıyla endüstriyel üretimde fark yaratmaktadır. Tekiş, 2010 yılından bu yana kendi üretim sürecinde başarıyla kullandığı CNC derin delik delme ve yatay freze tezgahlarını, 2021 yılında aldığı stratejik kararla ticarileştirmiştir. Bugün, her biri saha tecrübesiyle geliştirilmiş CNC makinelerimiz; hassasiyet, dayanıklılık ve kullanıcı dostu otomasyon sistemleriyle öne çıkar. Ürün Gamımız: CNC Derin Delik Delme Tezgahları: CNC Yatay Freze Tezgahları: 6 Eksen CNC Derin Delik Delme ve Frezeleme Tezgahları: Avantajlarımız: - Yüksek hassasiyet ve proses tekrarlanabilirliği - Yerli üretim ve güçlü teknik servis altyapısı - Ar-Ge destekli mühendislik tasarımı - Uygulama desteği ve operatör eğitimi Tekiş CNC makineleri, üretiminizin kalbinde çalışmak için tasarlandı.</x:v>
      </x:c>
    </x:row>
    <x:row r="319">
      <x:c r="A319" s="3" t="str">
        <x:v>TEKNİK DÖKÜM KAPLAMA MALZEMELERİ SANAYİ VE TİCARET ANONİM ŞİRKETİ</x:v>
      </x:c>
      <x:c r="B319" s="3" t="str">
        <x:v>https://www.teknikdokum.com/</x:v>
      </x:c>
      <x:c r="C319" s="3" t="str">
        <x:v>+904448351</x:v>
      </x:c>
      <x:c r="D319" s="3" t="str">
        <x:v>https://www.maktekfuari.com/brand/teknik-dokum-kaplama-malzemeleri-sanayi-ve-ticaret-anonim-sirketi</x:v>
      </x:c>
      <x:c r="E319" s="8" t="str">
        <x:v>Deliklikaya, Kısıklı Cad No:69, 34555 Arnavutköy/İstanbul</x:v>
      </x:c>
      <x:c r="F319" s="3" t="str">
        <x:v>11A</x:v>
      </x:c>
      <x:c r="G319" s="3" t="str">
        <x:v>06</x:v>
      </x:c>
      <x:c r="H319" s="8"/>
      <x:c r="I319" s="8"/>
      <x:c r="J319" s="8" t="str">
        <x:v>1977’de kurulan Teknik Döküm, kuyumculuk makineleri üretimi ve CEIA temsilciliği ile sektörde öncü olmuştur. 1988’de Amerika’ya ilk ihracatını yapmış, 40’tan fazla ülkede atölyeler kurmuştur. 90’larda Smiths Detection ortaklığıyla güvenlik sektörüne girmiş; 2014’te geliştirdiği otomatik sepet sistemiyle havacılıkta global çözümler sunmuştur. Bugün; kuyum, güvenlik ve endüstri alanlarında Şili’den Avustralya’ya hizmet vermektedir.</x:v>
      </x:c>
    </x:row>
    <x:row r="320">
      <x:c r="A320" s="3" t="str">
        <x:v>TEKNİK ÖLÇÜM SİS. VE KES. TAK. SAN. VE TİC. LTD. ŞTİ.</x:v>
      </x:c>
      <x:c r="B320" s="3" t="str">
        <x:v>https://Teknik Ölçüm Sistemleri</x:v>
      </x:c>
      <x:c r="C320" s="3" t="str">
        <x:v>‎+90 212 210 86 41</x:v>
      </x:c>
      <x:c r="D320" s="3" t="str">
        <x:v>https://www.maktekfuari.com/brand/teknik-olcum-sis-ve-kes-tak-san-ve-tic-ltd-sti</x:v>
      </x:c>
      <x:c r="E320" s="8" t="str">
        <x:v>Perpa Ticaret Merkezi A Blok Kat:11 No: 1375 Okmeydanı</x:v>
      </x:c>
      <x:c r="F320" s="3" t="str">
        <x:v>11</x:v>
      </x:c>
      <x:c r="G320" s="3" t="str">
        <x:v>1114</x:v>
      </x:c>
      <x:c r="H320" s="8" t="str">
        <x:v>ACCUD; IBR; SCHNEIDER; STARRETT; WYLER; PETER HIRT; KAFER; KROEPLIN; BOWERS; HELIOS-PREISSER</x:v>
      </x:c>
      <x:c r="I320" s="8"/>
      <x:c r="J320" s="8" t="str">
        <x:v>2003 yılında kurulan firmamız; hassas ölçü aletleri, kalite kontrol ekipmanları, görüntü analiz sistemleri ve teknik servis hizmetleri alanlarında faaliyet göstermektedir. Kalite, güven ve müşteri memnuniyetini temel ilke edinerek Türk sanayisine değer katmaktayız. Türkiye’nin önde gelen sanayi kuruluşları ile KOBİ’lere çözüm ortağı olarak hizmet vermekteyiz. ACCUD, IBR, SCHNEIDER, STARRETT, WYLER, PETER HIRT, KAFER, KROEPLIN, BOWERS, HELIOS-PREISSER ve ELECTRONICA markalarının mümessilliğini yürütmekteyiz. Merkez ve showroomumuz İstanbul Perpa Ticaret Merkezi’nde olup; İzmir, Bursa, Çerkezköy, Ankara ve Konya bayiliklerimizle Türkiye genelinde satış, teknik destek ve servis hizmeti sunmaktayız.</x:v>
      </x:c>
    </x:row>
    <x:row r="321">
      <x:c r="A321" s="3" t="str">
        <x:v>TEKNO 2000 PAZARLAMA VE İNŞAAT TİC. LTD. ŞTİ.</x:v>
      </x:c>
      <x:c r="B321" s="3" t="str">
        <x:v>https://tekno2000.net/</x:v>
      </x:c>
      <x:c r="C321" s="3" t="str">
        <x:v>‎+90 216 640 56 00</x:v>
      </x:c>
      <x:c r="D321" s="3" t="str">
        <x:v>https://www.maktekfuari.com/brand/tekno-2000-pazarlama-ve-insaat-tic-ltd-sti</x:v>
      </x:c>
      <x:c r="E321" s="8" t="str">
        <x:v>Çekmeköy Sapağı Bosna Cad. Bayrak Plaza B Girişi No: 10 34782</x:v>
      </x:c>
      <x:c r="F321" s="3" t="str">
        <x:v>3</x:v>
      </x:c>
      <x:c r="G321" s="3" t="str">
        <x:v>317A</x:v>
      </x:c>
      <x:c r="H321" s="8" t="str">
        <x:v>WILSON TOOL; TOOLSPRESS; LVD; BEHRINGER; BEHRINGER EISELE; VERNET BEHRINGER; EHRT; LISSMAC</x:v>
      </x:c>
      <x:c r="I321" s="8" t="str">
        <x:v>WILSON TOOL; BEHRINGER; BEHRINGER EISELE; EHRT; VERNET BEHRINGER; LISSMAC; TOOLSPRESS; LVD</x:v>
      </x:c>
      <x:c r="J321" s="8"/>
    </x:row>
    <x:row r="322">
      <x:c r="A322" s="3" t="str">
        <x:v>TEKNOMASYON MAKİNA MET. EL. TUR. SAN. VE TİC. LTD. ŞTİ.</x:v>
      </x:c>
      <x:c r="B322" s="3"/>
      <x:c r="C322" s="3"/>
      <x:c r="D322" s="3" t="str">
        <x:v>https://www.maktekfuari.com/brand/teknomasyon-makina-met-el-tur-san-ve-tic-ltd-sti</x:v>
      </x:c>
      <x:c r="E322" s="8"/>
      <x:c r="F322" s="3" t="str">
        <x:v>10</x:v>
      </x:c>
      <x:c r="G322" s="3" t="str">
        <x:v>1011</x:v>
      </x:c>
      <x:c r="H322" s="8"/>
      <x:c r="I322" s="8"/>
      <x:c r="J322" s="8"/>
    </x:row>
    <x:row r="323">
      <x:c r="A323" s="3" t="str">
        <x:v>TEKOMA HASSAS TUTUCU TAKIMLAR MAK. SAN. TİC. LTD. ŞTİ.</x:v>
      </x:c>
      <x:c r="B323" s="3" t="str">
        <x:v>https://www.tekoma.com.tr</x:v>
      </x:c>
      <x:c r="C323" s="3" t="str">
        <x:v>‎+90 542 443 68 42</x:v>
      </x:c>
      <x:c r="D323" s="3" t="str">
        <x:v>https://www.maktekfuari.com/brand/tekoma-hassas-tutucu-takimlar-mak-san-tic-ltd-sti</x:v>
      </x:c>
      <x:c r="E323" s="8" t="str">
        <x:v>BÜYÜK KAYACIK MAHALLESİ 3. ORGANİZE SAN. BÖLGESİ 12. SOKAK NO:26</x:v>
      </x:c>
      <x:c r="F323" s="3" t="str">
        <x:v>11</x:v>
      </x:c>
      <x:c r="G323" s="3" t="str">
        <x:v>1179</x:v>
      </x:c>
      <x:c r="H323" s="8"/>
      <x:c r="I323" s="8"/>
      <x:c r="J323" s="8"/>
    </x:row>
    <x:row r="324">
      <x:c r="A324" s="3" t="str">
        <x:v>TEKYAZ TEKNOLOJİK YAZILIMLAR VE MAK.TİCARET AŞ.</x:v>
      </x:c>
      <x:c r="B324" s="3"/>
      <x:c r="C324" s="3"/>
      <x:c r="D324" s="3" t="str">
        <x:v>https://www.maktekfuari.com/brand/tekyaz-teknolojik-yazilimlar-ve-makticaret-as</x:v>
      </x:c>
      <x:c r="E324" s="8"/>
      <x:c r="F324" s="3" t="str">
        <x:v>12</x:v>
      </x:c>
      <x:c r="G324" s="3" t="str">
        <x:v>1203</x:v>
      </x:c>
      <x:c r="H324" s="8"/>
      <x:c r="I324" s="8"/>
      <x:c r="J324" s="8"/>
    </x:row>
    <x:row r="325">
      <x:c r="A325" s="3" t="str">
        <x:v>TEMAK TEKNİK TAKIM TEZGAHLARI SANAYİ VE TİCARET ANONİM ŞİRKETİ</x:v>
      </x:c>
      <x:c r="B325" s="3" t="str">
        <x:v>https://temak.com.tr/</x:v>
      </x:c>
      <x:c r="C325" s="3" t="str">
        <x:v>‎+90 216 366 87 00</x:v>
      </x:c>
      <x:c r="D325" s="3" t="str">
        <x:v>https://www.maktekfuari.com/brand/temak-teknik-takim-tezgahlari-sanayi-ve-ticaret-anonim-sirketi</x:v>
      </x:c>
      <x:c r="E325" s="8" t="str">
        <x:v>GİRNE MAH. IRMAKLAR SOK. KÜÇÜKYALI İŞ MERKEZİ NO: 72-1C/1</x:v>
      </x:c>
      <x:c r="F325" s="3" t="str">
        <x:v>11</x:v>
      </x:c>
      <x:c r="G325" s="3" t="str">
        <x:v>1148A</x:v>
      </x:c>
      <x:c r="H325" s="8"/>
      <x:c r="I325" s="8" t="str">
        <x:v>GERARDİ SPA; NAREX Zdánice, spol. s r.o.; IZAR CUTTING TOOLS S.A.L.; ASIMETO; BISON S.A.; VERTEX MACHINERY WORKS CO. ,LTD.; CP GRAT-EX MFG. CO.; HARLİNGEN TOOLS; ZPS - FRÉZOVACÍ NÁSTROJE a.s.; Bucovice Tools a.s.; GEWINDEWERKZEUGE GABROVO GmbH</x:v>
      </x:c>
      <x:c r="J325" s="8" t="str">
        <x:v>TEMAK Teknik, 1988 yılında Ali Küçükoğlu tarafından kurulmasından bu yana kesintisiz olarak büyümüş ve bugüne ulaşmış, teknik hırdavat ve kesici takımlar sektörünün öncü firması konumuna gelmiştir. TEMAK, metal sektöründe kullanılan Kesici Takımlar, Tutucu Takımlar ve Ölçü Aletleri konusunda başta Avrupa olmak üzere, Amerika ve Uzakdoğu’dan 35 markanın Türkiye ana distribütörü ve tedarikçisidir. 1950 m2 merkez ofis ve depolarıyla Türk sanayisine ve yurtdışındaki müşterilerine hizmet vermektedir.</x:v>
      </x:c>
    </x:row>
    <x:row r="326">
      <x:c r="A326" s="3" t="str">
        <x:v>TEMELSAN MAKİNA SAN.VE TİC.LTD.ŞTİ.</x:v>
      </x:c>
      <x:c r="B326" s="3"/>
      <x:c r="C326" s="3"/>
      <x:c r="D326" s="3" t="str">
        <x:v>https://www.maktekfuari.com/brand/temelsan-makina-sanve-ticltdsti</x:v>
      </x:c>
      <x:c r="E326" s="8"/>
      <x:c r="F326" s="3" t="str">
        <x:v>2</x:v>
      </x:c>
      <x:c r="G326" s="3" t="str">
        <x:v>203</x:v>
      </x:c>
      <x:c r="H326" s="8"/>
      <x:c r="I326" s="8"/>
      <x:c r="J326" s="8"/>
    </x:row>
    <x:row r="327">
      <x:c r="A327" s="3" t="str">
        <x:v>TEMREN MAKİNA İMALAT MÜHENDİSLİK SANAYİ VE TİCARET LİMİTED ŞİRKETİ</x:v>
      </x:c>
      <x:c r="B327" s="3" t="str">
        <x:v>https://www.temrenmakina.com/</x:v>
      </x:c>
      <x:c r="C327" s="3" t="str">
        <x:v>‎+90 312 815 23 22</x:v>
      </x:c>
      <x:c r="D327" s="3" t="str">
        <x:v>https://www.maktekfuari.com/brand/temren-makina-imalat-muhendislik-sanayi-ve-ticaret-limited-sirketi</x:v>
      </x:c>
      <x:c r="E327" s="8" t="str">
        <x:v>Saray Mahallesi 100. Yıl Bulvarı No: 75</x:v>
      </x:c>
      <x:c r="F327" s="3" t="str">
        <x:v>6</x:v>
      </x:c>
      <x:c r="G327" s="3" t="str">
        <x:v>612B</x:v>
      </x:c>
      <x:c r="H327" s="8"/>
      <x:c r="I327" s="8"/>
      <x:c r="J327" s="8"/>
    </x:row>
    <x:row r="328">
      <x:c r="A328" s="3" t="str">
        <x:v>TESE MAKİNE SAN. VE TİC. LTD. ŞTİ.</x:v>
      </x:c>
      <x:c r="B328" s="3"/>
      <x:c r="C328" s="3"/>
      <x:c r="D328" s="3" t="str">
        <x:v>https://www.maktekfuari.com/brand/tese-makine-san-ve-tic-ltd-sti</x:v>
      </x:c>
      <x:c r="E328" s="8"/>
      <x:c r="F328" s="3" t="str">
        <x:v>11</x:v>
      </x:c>
      <x:c r="G328" s="3" t="str">
        <x:v>1103</x:v>
      </x:c>
      <x:c r="H328" s="8"/>
      <x:c r="I328" s="8"/>
      <x:c r="J328" s="8"/>
    </x:row>
    <x:row r="329">
      <x:c r="A329" s="3" t="str">
        <x:v>TEZAYMAK TAKIM TEZGAHLARI SAN. VE TİC. A.Ş.</x:v>
      </x:c>
      <x:c r="B329" s="3"/>
      <x:c r="C329" s="3"/>
      <x:c r="D329" s="3" t="str">
        <x:v>https://www.maktekfuari.com/brand/tezaymak-takim-tezgahlari-san-ve-tic-as</x:v>
      </x:c>
      <x:c r="E329" s="8"/>
      <x:c r="F329" s="3" t="str">
        <x:v>7</x:v>
      </x:c>
      <x:c r="G329" s="3" t="str">
        <x:v>712</x:v>
      </x:c>
      <x:c r="H329" s="8"/>
      <x:c r="I329" s="8"/>
      <x:c r="J329" s="8"/>
    </x:row>
    <x:row r="330">
      <x:c r="A330" s="3" t="str">
        <x:v>TEZMAKSAN MAKİNA SAN VE TİC A.Ş.</x:v>
      </x:c>
      <x:c r="B330" s="3" t="str">
        <x:v>https://www.tezmaksan.com</x:v>
      </x:c>
      <x:c r="C330" s="3" t="str">
        <x:v>‎+90 212 674 60 10</x:v>
      </x:c>
      <x:c r="D330" s="3" t="str">
        <x:v>https://www.maktekfuari.com/brand/tezmaksan-makina-san-ve-tic-as</x:v>
      </x:c>
      <x:c r="E330" s="8" t="str">
        <x:v>İSMET PAŞA MAHALLESİ ABDİ İPEKÇİ CAD. NO: 129</x:v>
      </x:c>
      <x:c r="F330" s="3" t="str">
        <x:v>8</x:v>
      </x:c>
      <x:c r="G330" s="3" t="str">
        <x:v>802</x:v>
      </x:c>
      <x:c r="H330" s="8"/>
      <x:c r="I330" s="8"/>
      <x:c r="J330" s="8" t="str">
        <x:v>1981’den bu yana Türkiye sanayisinin dijital dönüşümüne liderlik eden Tezmaksan, bugün talaşlı imalatta makine, yazılım, finans ve eğitimi birleştiren dev bir teknoloji ekosistemi sunuyor. Endüstri 4.0 vizyonumuzun merkezinde yer alan yerli robotlu otomasyon sistemimiz CubeBOX ile üretimde 24 saat kesintisiz verimlilik sağlarken, CNC analiz platformumuz KAPASİTEMATİK ile veriyi katma değere dönüştürüyoruz. Sektörün en büyük B2B platformu Parkurda.com ile paydaşlarımızı dijital bir pazarda buluşturuyor, sermaye harcaması yapmadan en modern teknolojilere erişim sağlayan Teknoloji Kiralama modelimizle sanayicimizin rekabet gücünü artırıyoruz. Tezmaksan Akademi ile sektöre nitelikli iş gücü kazandırırken, 40’tan fazla global marka temsilciliğimiz ve uzman mühendis kadromuzla karanlık fabrikalara giden yolda anahtar teslim projeler üretiyoruz. Sadece makine değil, verimlilik ve sürdürülebilirlik odaklı çözümler geliştirerek geleceğin akıllı üretim hatlarını bugünden kuruyoruz.</x:v>
      </x:c>
    </x:row>
    <x:row r="331">
      <x:c r="A331" s="3" t="str">
        <x:v>TFON MAKİNE A.Ş.</x:v>
      </x:c>
      <x:c r="B331" s="3" t="str">
        <x:v>https://tfon.com.tr/tr</x:v>
      </x:c>
      <x:c r="C331" s="3" t="str">
        <x:v>‎+90 533 155 91 18</x:v>
      </x:c>
      <x:c r="D331" s="3" t="str">
        <x:v>https://www.maktekfuari.com/brand/tfon-makine-as</x:v>
      </x:c>
      <x:c r="E331" s="8" t="str">
        <x:v>Fevzi Çakmak Mah, 10730. Sk. No:4, Pk. 42050 Karatay/Konya/TÜRKİYE</x:v>
      </x:c>
      <x:c r="F331" s="3" t="str">
        <x:v>2</x:v>
      </x:c>
      <x:c r="G331" s="3" t="str">
        <x:v>219</x:v>
      </x:c>
      <x:c r="H331" s="8"/>
      <x:c r="I331" s="8"/>
      <x:c r="J331" s="8" t="str">
        <x:v>TFON Makine A.Ş. Telefoncular Grup bünyesinde 2019 yılında kurulmuştur. Metal işleme sektöründe 1977\’den bu yana hizmet veren Telefoncular Grup, sektörde karşılaşılan en büyük problemlerden biri olan alevli kesim sonrası oluşan çapakların temizlenmesi, keskin kenarların yuvarlanması ve doğrultma sorunlarının önüne geçilebilmesi adına metal işleme makineleri sektörüne adım atmıştır. Kurulduğu günden bu yana, göz alıcı tasarımları, uzman ekibi ve kalitesiyle sonsuz hizmet ve yüzde yüz müşteri memnuniyeti anlayışına sadık kalmış ve emin adımlar ile ilerlemeye devam etmiştir. Referansları tarafından tam not alan TFON Machine A.Ş. üretmiş olduğu Çapak Alma &amp; Kenar Yuvarlama makinesi ve Doğrultma &amp; Gerilim Giderme Makineleri ile üretimlerde kaybedilen vakti minimum seviyeye indirmenin, daha kaliteli üretim ve hizmet anlayışına katkıda bulunmanın verdiği özgüven ile daima ileriyi hedeflemektedir.</x:v>
      </x:c>
    </x:row>
    <x:row r="332">
      <x:c r="A332" s="3" t="str">
        <x:v>TİTANİT ULTRA SERT KAPLAMALAR SAN. VE TİC. LTD. ŞTİ.</x:v>
      </x:c>
      <x:c r="B332" s="3" t="str">
        <x:v>https://www.titanit.com.tr/</x:v>
      </x:c>
      <x:c r="C332" s="3" t="str">
        <x:v>‎+90 533 209 59 35</x:v>
      </x:c>
      <x:c r="D332" s="3" t="str">
        <x:v>https://www.maktekfuari.com/brand/titanit-ultra-sert-kaplamalar-san-ve-tic-ltd-sti</x:v>
      </x:c>
      <x:c r="E332" s="8" t="str">
        <x:v>Mehmet Nesih Özmen Mahallesi Kasım Sokak No: 12/9 Merter</x:v>
      </x:c>
      <x:c r="F332" s="3" t="str">
        <x:v>11</x:v>
      </x:c>
      <x:c r="G332" s="3" t="str">
        <x:v>1132</x:v>
      </x:c>
      <x:c r="H332" s="8"/>
      <x:c r="I332" s="8"/>
      <x:c r="J332" s="8" t="str">
        <x:v>PVD kaplama alanında yaptığı ArGe projeleri ve ürün geliştirme faaliyetleriyle sektörünün lokomotifi haline gelen TİTANİT, PVD kaplama teknoloji üretiminde dünyada öncü konumunda bulunan firmalar ile teknolojik işbirlikleri gerçekleştirmiştir. Sektörün %100 yerli sermayeli firması olarak yüksek oranda verimsizliklere yol açan takım – kalıp aşınmasından kaynaklı mali kayıpların olduğu her yerde ülke endüstrisine destek olmaktadır.</x:v>
      </x:c>
    </x:row>
    <x:row r="333">
      <x:c r="A333" s="3" t="str">
        <x:v>TMT MAKİNE SANAYİ VE TİCARET LTD. ŞTİ.</x:v>
      </x:c>
      <x:c r="B333" s="3" t="str">
        <x:v>https://lockcell.com.tr</x:v>
      </x:c>
      <x:c r="C333" s="3" t="str">
        <x:v>‎+90 541 314 04 90</x:v>
      </x:c>
      <x:c r="D333" s="3" t="str">
        <x:v>https://www.maktekfuari.com/brand/tmt-makine-sanayi-ve-ticaret-ltd-sti</x:v>
      </x:c>
      <x:c r="E333" s="8" t="str">
        <x:v>Çerkesli OSB Mah. İmes-10 Cad. No: 20/1</x:v>
      </x:c>
      <x:c r="F333" s="3" t="str">
        <x:v>11</x:v>
      </x:c>
      <x:c r="G333" s="3" t="str">
        <x:v>1157</x:v>
      </x:c>
      <x:c r="H333" s="8" t="str">
        <x:v>LOCKCELL</x:v>
      </x:c>
      <x:c r="I333" s="8" t="str">
        <x:v>GERARDİ SPA; SPERONI SpA; Minitor Sfida</x:v>
      </x:c>
      <x:c r="J333" s="8" t="str">
        <x:v>TMT Makine 2013 yılında 3 Girişimci Mühendis tarafından kurulmuştur bugün ise bünyesinde 7 farklı ürün grubu ile ilk ve tek yerli üretim yapan üreticileridir. TMT Makine, Lockcell Markası ile çıktığı yolda her sektör ve endüstriyel ortam için otomatik dikey depolama sistemleri tasarlayan ve üreten bir Türk şirketidir. TMT Makine aynı zamanda, farklı türlerdeki ürünlerin küçük elektronik parçalardan medikal ilaç sektörüne, kalıp sektöründen otomobil ve motor parçaları gibi ağır ve hacimli nesnelerin depolanmasını sağlayan otomasyon destekli otomatik depolama sistemleri üretmektedir. Temel ilkemiz, müşteri memnuniyetini birinci önceliğimiz kabul ederek, müşterilerimize değer katan çözümler sunmak, çalışanlarımızın sürekli gelişimini sağlayarak mutlu ve güvenilir bir çalışma ortamı sağlamak ve katma değerli teknolojik makinalar üretmektedir.</x:v>
      </x:c>
    </x:row>
    <x:row r="334">
      <x:c r="A334" s="3" t="str">
        <x:v>TRAKYA KESİCİ TAK. SAN. VE TİC. LTD. ŞTİ.</x:v>
      </x:c>
      <x:c r="B334" s="3"/>
      <x:c r="C334" s="3"/>
      <x:c r="D334" s="3" t="str">
        <x:v>https://www.maktekfuari.com/brand/trakya-kesici-tak-san-ve-tic-ltd-sti</x:v>
      </x:c>
      <x:c r="E334" s="8"/>
      <x:c r="F334" s="3" t="str">
        <x:v>12A</x:v>
      </x:c>
      <x:c r="G334" s="3" t="str">
        <x:v>07</x:v>
      </x:c>
      <x:c r="H334" s="8"/>
      <x:c r="I334" s="8"/>
      <x:c r="J334" s="8"/>
    </x:row>
    <x:row r="335">
      <x:c r="A335" s="3" t="str">
        <x:v>TRUMPF MAKİNA SAN.A.Ş.</x:v>
      </x:c>
      <x:c r="B335" s="3" t="str">
        <x:v>https://www.trumpf.com/tr_TR/</x:v>
      </x:c>
      <x:c r="C335" s="3" t="str">
        <x:v>‎+90 216 570 45 00</x:v>
      </x:c>
      <x:c r="D335" s="3" t="str">
        <x:v>https://www.maktekfuari.com/brand/trumpf-makina-sanas</x:v>
      </x:c>
      <x:c r="E335" s="8" t="str">
        <x:v>Şerifali Mah. Kutup Sok. TRUMPF Plaza No: 22, 34775</x:v>
      </x:c>
      <x:c r="F335" s="3" t="str">
        <x:v>3</x:v>
      </x:c>
      <x:c r="G335" s="3" t="str">
        <x:v>312</x:v>
      </x:c>
      <x:c r="H335" s="8" t="str">
        <x:v>TRUMPF</x:v>
      </x:c>
      <x:c r="I335" s="8" t="str">
        <x:v>TRUMPF SE + Co. KG</x:v>
      </x:c>
      <x:c r="J335" s="8" t="str">
        <x:v>TRUMPF Makina Sanayii Anonim Şirketi, yüksek teknoloji makineleri ve otomasyon sistemleri üretimiyle tanınan lider bir şirket olan TRUMPF grubunun bir iştirakidir. 2000 yılında kurulan şirketin genel merkezi İstanbul, Türkiye’dedir. 2020 yılında şirket, Şerifali, Ümraniye’de yer alan yeni merkezine taşınmıştır. Bu yeni merkezde idari ofisler, showroom, eğitim merkezi ve depo alanları bulunmaktadır. TRUMPF Türkiye, makine takımları ve lazer teknolojisi alanlarında ülke genelinde satış ve servis çözümleri sunmaktadır. Şirketin şu anda yaklaşık 50 çalışanı bulunmaktadır.</x:v>
      </x:c>
    </x:row>
    <x:row r="336">
      <x:c r="A336" s="3" t="str">
        <x:v>TT LAZER TEKNOLOJİLERİ LTD. ŞTİ.</x:v>
      </x:c>
      <x:c r="B336" s="3" t="str">
        <x:v>https://www.ttlazer.com</x:v>
      </x:c>
      <x:c r="C336" s="3" t="str">
        <x:v>‎+90 505 819 73 26</x:v>
      </x:c>
      <x:c r="D336" s="3" t="str">
        <x:v>https://www.maktekfuari.com/brand/tt-lazer-teknolojileri-ltd-sti</x:v>
      </x:c>
      <x:c r="E336" s="8" t="str">
        <x:v>Mescit Mh. Turgut Özal Cd. No:30B</x:v>
      </x:c>
      <x:c r="F336" s="3" t="str">
        <x:v>11A</x:v>
      </x:c>
      <x:c r="G336" s="3" t="str">
        <x:v>24</x:v>
      </x:c>
      <x:c r="H336" s="8" t="str">
        <x:v>HG STAR</x:v>
      </x:c>
      <x:c r="I336" s="8" t="str">
        <x:v>HG STAR TECHNOLOGY CO.,Ltd.</x:v>
      </x:c>
      <x:c r="J336" s="8" t="str">
        <x:v>TT Lazer, HG Star markasının Türkiye Distribütörüdür. Her biri alanında uzman kadrosu ile satış ve satış sonrası hizmetleri sağlamaktadır. Lazer kesim tezgahları, Lazer kaynak makineleri, lazer markalama makineleri, lazer yüzey temizleme makineleri ve robotlu otomasyon sistemleri ürün portföyü içerisindedir. Bu makinelere ait teknik servis organizasyonu ve yedek parça satışı yapılmaktadır.</x:v>
      </x:c>
    </x:row>
    <x:row r="337">
      <x:c r="A337" s="3" t="str">
        <x:v>TUBEND MAKİNA SAN. VE TİC. A.Ş.</x:v>
      </x:c>
      <x:c r="B337" s="3" t="str">
        <x:v>https://www.tubend.com.tr</x:v>
      </x:c>
      <x:c r="C337" s="3" t="str">
        <x:v>‎+90 542 510 25 74</x:v>
      </x:c>
      <x:c r="D337" s="3" t="str">
        <x:v>https://www.maktekfuari.com/brand/tubend-makina-san-ve-tic-as</x:v>
      </x:c>
      <x:c r="E337" s="8" t="str">
        <x:v>Beşevler Küçük Sanayi Sitesi 32.Blok No: 65/1 Nilüfer / BURSA</x:v>
      </x:c>
      <x:c r="F337" s="3" t="str">
        <x:v>2</x:v>
      </x:c>
      <x:c r="G337" s="3" t="str">
        <x:v>218</x:v>
      </x:c>
      <x:c r="H337" s="8"/>
      <x:c r="I337" s="8"/>
      <x:c r="J337" s="8"/>
    </x:row>
    <x:row r="338">
      <x:c r="A338" s="3" t="str">
        <x:v>TULPAR TOOLS METAL İŞLEME TEKNOLOJİLERİ SAN. VE TİC. A.Ş.</x:v>
      </x:c>
      <x:c r="B338" s="3" t="str">
        <x:v>http://tulpartools.com/</x:v>
      </x:c>
      <x:c r="C338" s="3" t="str">
        <x:v>‎+90 532 659 95 58</x:v>
      </x:c>
      <x:c r="D338" s="3" t="str">
        <x:v>https://www.maktekfuari.com/brand/tulpar-tools-metal-isleme-teknolojileri-san-ve-tic-as</x:v>
      </x:c>
      <x:c r="E338" s="8" t="str">
        <x:v>Aktürk San.Sitesi Şeyhli Mah. Vadi Sok. No:6A İçkapı No A-63 Pendik - İst</x:v>
      </x:c>
      <x:c r="F338" s="3" t="str">
        <x:v>11A</x:v>
      </x:c>
      <x:c r="G338" s="3" t="str">
        <x:v>11</x:v>
      </x:c>
      <x:c r="H338" s="8" t="str">
        <x:v>TULPAR TOOLS METAL İŞLEME TEKNOLOJİLERİ SANAYİ VE TİCARET ANONİM ŞİRKETİ</x:v>
      </x:c>
      <x:c r="I338" s="8"/>
      <x:c r="J338" s="8"/>
    </x:row>
    <x:row r="339">
      <x:c r="A339" s="3" t="str">
        <x:v>TUMA HASSAS TUTUCU TAK.MED.OTO.MAK.SAN.TİC.LTD.ŞTİ</x:v>
      </x:c>
      <x:c r="B339" s="3"/>
      <x:c r="C339" s="3"/>
      <x:c r="D339" s="3" t="str">
        <x:v>https://www.maktekfuari.com/brand/tuma-hassas-tutucu-takmedotomaksanticltdsti</x:v>
      </x:c>
      <x:c r="E339" s="8"/>
      <x:c r="F339" s="3" t="str">
        <x:v>11</x:v>
      </x:c>
      <x:c r="G339" s="3" t="str">
        <x:v>1165</x:v>
      </x:c>
      <x:c r="H339" s="8"/>
      <x:c r="I339" s="8"/>
      <x:c r="J339" s="8"/>
    </x:row>
    <x:row r="340">
      <x:c r="A340" s="3" t="str">
        <x:v>TÜRK STANDARDLARI ENSTİTÜSÜ</x:v>
      </x:c>
      <x:c r="B340" s="3"/>
      <x:c r="C340" s="3"/>
      <x:c r="D340" s="3" t="str">
        <x:v>https://www.maktekfuari.com/brand/turk-standardlari-enstitusu</x:v>
      </x:c>
      <x:c r="E340" s="8"/>
      <x:c r="F340" s="3" t="str">
        <x:v>6</x:v>
      </x:c>
      <x:c r="G340" s="3" t="str">
        <x:v>609A</x:v>
      </x:c>
      <x:c r="H340" s="8"/>
      <x:c r="I340" s="8"/>
      <x:c r="J340" s="8"/>
    </x:row>
    <x:row r="341">
      <x:c r="A341" s="3" t="str">
        <x:v>TUROMAK MAKİNA SAN. VE TİC. LTD. ŞTİ.</x:v>
      </x:c>
      <x:c r="B341" s="3" t="str">
        <x:v>https://www.turomak.com.tr</x:v>
      </x:c>
      <x:c r="C341" s="3" t="str">
        <x:v>‎+90 216 266 66 12</x:v>
      </x:c>
      <x:c r="D341" s="3" t="str">
        <x:v>https://www.maktekfuari.com/brand/turomak-makina-san-ve-tic-ltd-sti</x:v>
      </x:c>
      <x:c r="E341" s="8" t="str">
        <x:v>Kozyatağı Mah. Gülbahar Sk. Ege Yıldız Sitesi A Blok No:13/10 Kadıköy/İstanbul</x:v>
      </x:c>
      <x:c r="F341" s="3" t="str">
        <x:v>9</x:v>
      </x:c>
      <x:c r="G341" s="3" t="str">
        <x:v>918</x:v>
      </x:c>
      <x:c r="H341" s="8" t="str">
        <x:v>TUROMAK</x:v>
      </x:c>
      <x:c r="I341" s="8" t="str">
        <x:v>STRIGON; SMT; UNISIGN; VOORTMAN; FACCIN; MANDELLI; PARAGON; PRAISE; MYDAY; HITEC; ESAB CUTTING SYSTEMS; FAT by HACO; OMSG / CARLO BANFI; CHUNGWEI GREAT; SAVIM; TECNOMAGNETE (MAG-AUTOBLOK); CMM; RAFAMET; POREBA</x:v>
      </x:c>
      <x:c r="J341" s="8" t="str">
        <x:v>Firmamız; CNC Talaşlı İmalat Tezgahları (torna, freze, işleme merkezi, borverk, taşlama) ve Raylı Sistemler için tezgahlar ile CNC Sac İşleme Tezgahları (kesme, bükme, delme, kumlama, boyama) konusunda yatırım ürünleri mümessilliği yapmaktadır. Aynı zamanda elektro mıknatıslı elleçleme sistemleri, sarf malzemeleri ve vakum altında metal kaplama ve benzeri endüstriyel malzemelerin ithalat ve satışını yapmaktadır. Turomak, global olarak her biri kendi alanında lider 20’den fazla firmanın mümessillik, satış, danışmanlık ve teknik servis hizmetlerini üstlenmektedir. Almanya, Hollanda, İtalya, Polonya, Çek Cumhuriyeti, Macaristan, Çin ve Tayvan gibi çok sayıda farklı ülkedeki üreticilerle uzun yıllardır birlikte çalışmaktadır. Firmamız başta Türkiye ve komşu ülkeler olmak üzere farklı ülkelere hizmetlerini ulaştırmaktadır.</x:v>
      </x:c>
    </x:row>
    <x:row r="342">
      <x:c r="A342" s="3" t="str">
        <x:v>ÜÇGEN YAZILIM DANIŞMANLIK BİLG.VE MAK.SAN.TİC.LTD.ŞTİ.</x:v>
      </x:c>
      <x:c r="B342" s="3" t="str">
        <x:v>https://ucgenyazilim.com/</x:v>
      </x:c>
      <x:c r="C342" s="3" t="str">
        <x:v>‎+90 216 550 52 06</x:v>
      </x:c>
      <x:c r="D342" s="3" t="str">
        <x:v>https://www.maktekfuari.com/brand/ucgen-yazilim-danismanlik-bilgve-maksanticltdsti</x:v>
      </x:c>
      <x:c r="E342" s="8" t="str">
        <x:v>Eğitim Mah. Ahsen Sokak Sadıkoğlu 1 İş Merkezi No: 10 Kat: 3 Daire 72 Tuğlacıbaşı Hasanpaşa</x:v>
      </x:c>
      <x:c r="F342" s="3" t="str">
        <x:v>12</x:v>
      </x:c>
      <x:c r="G342" s="3" t="str">
        <x:v>1215</x:v>
      </x:c>
      <x:c r="H342" s="8"/>
      <x:c r="I342" s="8"/>
      <x:c r="J342" s="8" t="str">
        <x:v>Üçgen Yazılım Ltd. Şti., 2005 yılında imalat sektörüne yazılım, donanım ve hizmet çözümleri sunmak amacıyla kurulmuştur. Firmamız, yazılım alanında; CAD/CAM/CAE (Bilgisayar Destekli Tasarım, İmalat ve Mühendislik) ürünlerinin satış, eğitim, teknik destek ve danışmanlık hizmetlerini; donanım alanında ise iş istasyonu bilgisayarların satış hizmetlerini yürütmektedir. CAx yazılımları ve donanım alanlarında dünya pazarındaki en kaliteli ve en önde gelen ürünleri müşterilerine sunan firmamız, danışmanlık ve servis hizmetlerinde de aynı kaliteyi sağlamayı kendisine ilke edinmiştir.</x:v>
      </x:c>
    </x:row>
    <x:row r="343">
      <x:c r="A343" s="3" t="str">
        <x:v>UGO BİLİŞİM TİC. VE LTD. ŞTİ.</x:v>
      </x:c>
      <x:c r="B343" s="3" t="str">
        <x:v>https://ugobilisim.com/</x:v>
      </x:c>
      <x:c r="C343" s="3" t="str">
        <x:v>‎+90 543 528 56 00</x:v>
      </x:c>
      <x:c r="D343" s="3" t="str">
        <x:v>https://www.maktekfuari.com/brand/ugo-bilisim-tic-ve-ltd-sti</x:v>
      </x:c>
      <x:c r="E343" s="8" t="str">
        <x:v>ORUÇREIS MAH. TEKSTILKENT CAD. TEKSTILKENT B14 BLOK NO: 10 V IÇ KAPI NO: 301</x:v>
      </x:c>
      <x:c r="F343" s="3" t="str">
        <x:v>12A</x:v>
      </x:c>
      <x:c r="G343" s="3" t="str">
        <x:v>19</x:v>
      </x:c>
      <x:c r="H343" s="8"/>
      <x:c r="I343" s="8" t="str">
        <x:v>ZHEJIANG SHUANGZHENG TECHNOLOGY CO.,LTD; NINGBO SANHAN ALLOY MATERIAL CO.,LTD.; DONGGUAN CITY TERMA ELECTRONICS CO.LTD; ZHEJIANG BOLLY SAW INDUSTRY CO., LTD.</x:v>
      </x:c>
      <x:c r="J343" s="8" t="str">
        <x:v>UGO Bilişim ve Ticaret Ltd. Şti. olarak, üretici firmaların Türkiye pazarındaki güvenilir distribütör ve çözüm ortağıyız. Üreticileri Türkiye pazarına taşırken, yalnızca bir ithalat kanalı değil; markanın satış ve pazarlamasını uçtan uca yöneten 360 derece bir iş ortağı olarak konumlanıyoruz. Yazılım ve dijital altyapı kurulumundan sahadaki sıcak satış operasyonlarına, gümrükleme süreçlerinin profesyonel yönetiminden fuar organizasyonu ve temsiline kadar ticaretin her halkasında yanınızdayız. Üreticinin Türkiye'deki büyümesini tek elden, ölçülebilir ve sürdürülebilir biçimde yöneterek; pazara giriş sürecini hem hızlandırıyor hem de riskini en aza indiriyoruz.</x:v>
      </x:c>
    </x:row>
    <x:row r="344">
      <x:c r="A344" s="3" t="str">
        <x:v>UĞURSAN MAK.KALIP SAN. CNC TAKIM TEZ. BİLG. SİS. LTD. ŞTİ.</x:v>
      </x:c>
      <x:c r="B344" s="3" t="str">
        <x:v>https://www.ugursancnc.com/</x:v>
      </x:c>
      <x:c r="C344" s="3" t="str">
        <x:v>‎+90 532 599 52 12</x:v>
      </x:c>
      <x:c r="D344" s="3" t="str">
        <x:v>https://www.maktekfuari.com/brand/ugursan-makkalip-san-cnc-takim-tez-bilg-sis-ltd-sti</x:v>
      </x:c>
      <x:c r="E344" s="8" t="str">
        <x:v>Yenidoğan Mah. Abdi ipekçi cad . 1. Emintaş San. Sit. No :74H Bayrampaşa / İSTANBUL</x:v>
      </x:c>
      <x:c r="F344" s="3" t="str">
        <x:v>5</x:v>
      </x:c>
      <x:c r="G344" s="3" t="str">
        <x:v>502</x:v>
      </x:c>
      <x:c r="H344" s="8" t="str">
        <x:v>JOINT</x:v>
      </x:c>
      <x:c r="I344" s="8"/>
      <x:c r="J344" s="8" t="str">
        <x:v>-UĞURSAN MAKİNA CNC TAKIM TEZGAHLARI LTD.ŞTİ. olarak, müşterilerimizin geleceğe yönelik teknoloji ihtiyaçlarını tespit edip; en ekonomik, kaliteli ve uzun ömürlü ürünleri sunmak ana ilkemiz olmuştur. CNC Dik İşleme Merkezleri , CNC Derin Delik Delme Tezgahları , CNC Dalma Erozyon Tezgahları , CNC Tel Erezyon Tezgahları, CNC Hızlı Delik Delme Tezgahları olmak üzere uzman satış ve servis ekibiyle yaklaşık 25 yıldır sektörel tecrübesiyle faaliyetlerine ve yatırımlarına devam etmektedir. Uzman deneyimli , dinamik teknik elemanlarımız ile ; Eğitim ve servis hizmetlerini büyük bir titizlikle ve başarılı bir şekilde sürdürmektedir. UĞURSAN CNC, Bu hizmet anlayışı ile siz değerli müşterilerine çözüm ortağınız olarak hizmet vermeye devam edecektir.</x:v>
      </x:c>
    </x:row>
    <x:row r="345">
      <x:c r="A345" s="3" t="str">
        <x:v>UNITED MACHINING TURKEY MAKİNE TİC. LTD. ŞTİ.</x:v>
      </x:c>
      <x:c r="B345" s="3"/>
      <x:c r="C345" s="3"/>
      <x:c r="D345" s="3" t="str">
        <x:v>https://www.maktekfuari.com/brand/united-machining-turkey-makine-tic-ltd-sti</x:v>
      </x:c>
      <x:c r="E345" s="8"/>
      <x:c r="F345" s="3" t="str">
        <x:v>4</x:v>
      </x:c>
      <x:c r="G345" s="3" t="str">
        <x:v>401</x:v>
      </x:c>
      <x:c r="H345" s="8"/>
      <x:c r="I345" s="8"/>
      <x:c r="J345" s="8"/>
    </x:row>
    <x:row r="346">
      <x:c r="A346" s="3" t="str">
        <x:v>UZAY MAKİNA TAKIM TEZ. SAN VE TİC A.Ş.</x:v>
      </x:c>
      <x:c r="B346" s="3" t="str">
        <x:v>https://www.uzaymak.com/</x:v>
      </x:c>
      <x:c r="C346" s="3" t="str">
        <x:v>‎+90 212 875 58 91</x:v>
      </x:c>
      <x:c r="D346" s="3" t="str">
        <x:v>https://www.maktekfuari.com/brand/uzay-makina-takim-tez-san-ve-tic-as</x:v>
      </x:c>
      <x:c r="E346" s="8" t="str">
        <x:v>Beylikdüzü Organize Sanayi Bölgesi Bakır ve Pirinçciler Sanayi Sitesi Menekşe Cad. No: 18</x:v>
      </x:c>
      <x:c r="F346" s="3" t="str">
        <x:v>3</x:v>
      </x:c>
      <x:c r="G346" s="3" t="str">
        <x:v>301</x:v>
      </x:c>
      <x:c r="H346" s="8"/>
      <x:c r="I346" s="8"/>
      <x:c r="J346" s="8" t="str">
        <x:v>Uzay Makina: Metal Kesim Teknolojilerinde Öncü 1976 yılında kurulan Uzay Makina, Türkiye’nin ilk kollu ve şerit testere tezgahı üreticisi olarak metal kesim sektörüne yön vermektedir. 25.000 m²’lik modern tesislerimizde, 3000 mm kesim kapasitesine kadar üretim gerçekleştirebilen dünyadaki sayılı firmadan biriyiz. Yarım asra yaklaşan tecrübemizi, dünya lideri markaların ekipmanları ve ileri teknolojiyle birleştiriyoruz. Uzman mühendis ve teknik kadromuzla, müşteri beklentilerinin ötesinde, estetik ve fonksiyonelliği buluşturan tasarımlara imza atıyoruz. Neden Uzay Makina? Geniş Üretim Gücü: Modern altyapımızla ihtiyaca özel konfigürasyonlar. Yenilikçi Yaklaşım: Ar-Ge odaklı, yaratıcı ve sürekli gelişen ürün yelpazesi. Koşulsuz Memnuniyet: Sektörde bizi ayıran en önemli farkımız; müşterilerimize sunduğumuz ömür boyu servis garantisidir. Uzay Makina, yüksek kalite standartları ve hızlı servis anlayışıyla sektördeki liderliğini sürdürmektedir.</x:v>
      </x:c>
    </x:row>
    <x:row r="347">
      <x:c r="A347" s="3" t="str">
        <x:v>VAN CNC TAKIM TEZGAHLARI SAN. VE TİC. A.Ş.</x:v>
      </x:c>
      <x:c r="B347" s="3" t="str">
        <x:v>https://vanmakina.com/</x:v>
      </x:c>
      <x:c r="C347" s="3" t="str">
        <x:v>‎+90 542 898 40 02</x:v>
      </x:c>
      <x:c r="D347" s="3" t="str">
        <x:v>https://www.maktekfuari.com/brand/van-cnc-takim-tezgahlari-san-ve-tic-as</x:v>
      </x:c>
      <x:c r="E347" s="8" t="str">
        <x:v>Merkez Fabrika İnönü mh. GEPSOB Mh.Cumhuriyet Cd.67/1 41400 Gebze TÜbitak Serbest Mam Serbest Bölge Barış Mh. 5002 Sk. No.4A/210 41470 Gebze</x:v>
      </x:c>
      <x:c r="F347" s="3" t="str">
        <x:v>10</x:v>
      </x:c>
      <x:c r="G347" s="3" t="str">
        <x:v>1013</x:v>
      </x:c>
      <x:c r="H347" s="8" t="str">
        <x:v>VAN Precision Engineering</x:v>
      </x:c>
      <x:c r="I347" s="8"/>
      <x:c r="J347" s="8" t="str">
        <x:v>VAN CNC Takım Tezgahları San. Tic. A.Ş., İsviçre tipi CNC kayar otomat tornaların tasarımı, üretimi, satışı, teknik servisi ve kullanıcı eğitimleri alanında faaliyet gösteren ileri teknoloji bir makine üreticisidir. 2006 yılından bu yana sektörde edinilen uluslararası bilgi ve tecrübeyi, Türkiye'nin mühendislik gücüyle birleştirerek yüksek hassasiyetli, yüksek performanslı ve güvenilir CNC çözümleri geliştirmektedir. Alanında uzman mühendis kadrosu, güçlü Ar-Ge altyapısı ve kalite odaklı üretim anlayışıyla müşterilerine uzun vadeli çözüm ortaklığı sunmaktadır. VAN CNC'nin hedefi, dünyanın önde gelen İsviçre tipi CNC torna üreticileri arasında yer almak ve Türkiye'nin yüksek teknoloji makine üretimindeki gücünü uluslararası pazarlarda başarıyla temsil etmektir.</x:v>
      </x:c>
    </x:row>
    <x:row r="348">
      <x:c r="A348" s="3" t="str">
        <x:v>VATAN CNC TAKIM TEZGAHLARI SAN TİC LTD ŞTİ</x:v>
      </x:c>
      <x:c r="B348" s="3" t="str">
        <x:v>https://vatancnc.com.tr/</x:v>
      </x:c>
      <x:c r="C348" s="3" t="str">
        <x:v>‎+90 216 471 19 00</x:v>
      </x:c>
      <x:c r="D348" s="3" t="str">
        <x:v>https://www.maktekfuari.com/brand/vatan-cnc-takim-tezgahlari-san-tic-ltd-sti</x:v>
      </x:c>
      <x:c r="E348" s="8" t="str">
        <x:v>Dilovası Organize Sanayi Bölgesi 4. Kısım Ceyhan Cad. No: 29, Cumhuriyet 41455 Gebze</x:v>
      </x:c>
      <x:c r="F348" s="3" t="str">
        <x:v>12</x:v>
      </x:c>
      <x:c r="G348" s="3" t="str">
        <x:v>1209</x:v>
      </x:c>
      <x:c r="H348" s="8"/>
      <x:c r="I348" s="8" t="str">
        <x:v>Haitian Precision Machinery</x:v>
      </x:c>
      <x:c r="J348" s="8" t="str">
        <x:v>20 yılı aşkın bilgi birikimi ve sektör tecrübesine sahip olan Vatan CNC, CNC makine ithalatı, satışı ve satış sonrası hizmetler alanında faaliyet gösteren, sektörün en köklü ve deneyimli firmalarından biridir. Kurucularımızın CNC makine sektöründe uzun yıllara dayanan tecrübesi; yüksek teknoloji CNC makinelerinin ithalatı, satışı ve teknik servis hizmetleri konusunda uzmanlaşmış profesyonel ekibimiz ile birleşerek, firmamızı CNC takım tezgahları sektöründe lider konuma taşımıştır. Sürekli gelişimi ilke edinen yapımız, her geçen gün kendini yenileyen organizasyonumuz ve büyüyen iş ortaklığı ağımız ile sektörde fark yaratan, güçlü ve güvenilir bir marka olma yolunda kararlılıkla ilerlemekteyiz. Teknolojik gelişmeleri yakından takip ederek verimliliğimizi artırmayı, çalışanlarımızın mesleki ve kişisel gelişimini sürekli kılmayı ve sahip olduğumuz bilgi birikimini her geçen gün daha ileri taşımayı temel değerlerimiz arasında görmekteyiz.</x:v>
      </x:c>
    </x:row>
    <x:row r="349">
      <x:c r="A349" s="3" t="str">
        <x:v>VECTORMACH ENDÜSTRİ TEKNOLOJİ A.Ş.</x:v>
      </x:c>
      <x:c r="B349" s="3"/>
      <x:c r="C349" s="3"/>
      <x:c r="D349" s="3" t="str">
        <x:v>https://www.maktekfuari.com/brand/vectormach-endustri-teknoloji-as</x:v>
      </x:c>
      <x:c r="E349" s="8"/>
      <x:c r="F349" s="3" t="str">
        <x:v>6</x:v>
      </x:c>
      <x:c r="G349" s="3" t="str">
        <x:v>604B</x:v>
      </x:c>
      <x:c r="H349" s="8"/>
      <x:c r="I349" s="8"/>
      <x:c r="J349" s="8"/>
    </x:row>
    <x:row r="350">
      <x:c r="A350" s="3" t="str">
        <x:v>VERA OTOMASYON MAKİNA SAN. VE DIŞ TİC. LTD. ŞTİ.</x:v>
      </x:c>
      <x:c r="B350" s="3" t="str">
        <x:v>https://www.veraotomasyon.com</x:v>
      </x:c>
      <x:c r="C350" s="3" t="str">
        <x:v>‎+90 545 230 02 50</x:v>
      </x:c>
      <x:c r="D350" s="3" t="str">
        <x:v>https://www.maktekfuari.com/brand/vera-otomasyon-makina-san-ve-dis-tic-ltd-sti</x:v>
      </x:c>
      <x:c r="E350" s="8" t="str">
        <x:v>Topçular Mahallesi Ferhatpaşa Cad. Üretmen İş Merkezi C Blok No:6 İç Kapı No:185</x:v>
      </x:c>
      <x:c r="F350" s="3" t="str">
        <x:v>2</x:v>
      </x:c>
      <x:c r="G350" s="3" t="str">
        <x:v>222B</x:v>
      </x:c>
      <x:c r="H350" s="8" t="str">
        <x:v>S.A.D.</x:v>
      </x:c>
      <x:c r="I350" s="8"/>
      <x:c r="J350" s="8" t="str">
        <x:v>Firmamız Servo Sürücü, Doğrultmalı Servo Sürücü, Rulo Açıcı ürünlerinde S.A.D. markası ile 20 yılı aşkın süredir hizmet vermektedir. Ürünlerimiz kalite standartlarına uygun olup gerekli sertifikasyon testlerinden başarıyla geçmiştir. Geniş servis ağımızla ve alanında uzman kadromuz ile satış sonrasın da müşteri memnuniyetini de ön planda tutmaktayız.</x:v>
      </x:c>
    </x:row>
    <x:row r="351">
      <x:c r="A351" s="3" t="str">
        <x:v>VEYSEL KÜTÜKLÜ MAK. SAN. VE TİC. A.Ş.</x:v>
      </x:c>
      <x:c r="B351" s="3" t="str">
        <x:v>https://www.vabs.com</x:v>
      </x:c>
      <x:c r="C351" s="3" t="str">
        <x:v>‎+90 531 640 29 59</x:v>
      </x:c>
      <x:c r="D351" s="3" t="str">
        <x:v>https://www.maktekfuari.com/brand/veysel-kutuklu-mak-san-ve-tic-as</x:v>
      </x:c>
      <x:c r="E351" s="8" t="str">
        <x:v>Emek Mah. Sıvat Cad. No: 17 34785 Sancaktepe</x:v>
      </x:c>
      <x:c r="F351" s="3" t="str">
        <x:v>11, 12A</x:v>
      </x:c>
      <x:c r="G351" s="3" t="str">
        <x:v>1116B, 44B</x:v>
      </x:c>
      <x:c r="H351" s="8" t="str">
        <x:v>VABS OVALAMA APARATLARI</x:v>
      </x:c>
      <x:c r="I351" s="8"/>
      <x:c r="J351" s="8" t="str">
        <x:v>VABS, 1968 yılında temelleri atılan köklü bir mühendislik mirasının üzerine, 1974 yılında başladığı profesyonel vida ovalama aparatı imalatı ile Türkiye’nin bu alandaki ilk ve öncü yerli markasıdır. Yarım asra yaklaşan bu üretim yolculuğunda, fabrikamızdan çıkan her bir ürün, en zorlu sanayi koşullarında kalitesini ve dayanıklılığını defalarca kanıtlamıştır. Bugün 5.700 m²’lik tesisimizde, "sıfır hata" prensibiyle üretilen aparatlarımız, dünya standartlarında bir performans sunmaktadır. Neden VABS Teknolojisi? VABS aparatları, talaş kaldırmak yerine metali soğuk şekillendirme (ovalama) yöntemiyle işler. Bu yöntem, geleneksel diş açma işlemlerine göre devrim niteliğinde avantajlar sağlar: Kanıtlanmış Dayanıklılık: 1974'ten beri sattığımız her ürün, yüksek mukavemetli yapısıyla sanayicinin güvenini kazanmıştır. Moleküler yapısı bozulmadan şekillenen dişler, aşınmaya karşı maksimum direnç gösterir. İnanılmaz Hız: Talaşlı imalatta dakikalar süren işlemler</x:v>
      </x:c>
    </x:row>
    <x:row r="352">
      <x:c r="A352" s="3" t="str">
        <x:v>VİBROMAK YÜZEY İŞLEM TEK.SAN.VE TİC.LTD.ŞTİ.</x:v>
      </x:c>
      <x:c r="B352" s="3" t="str">
        <x:v>https://www.vibromak.com</x:v>
      </x:c>
      <x:c r="C352" s="3" t="str">
        <x:v>‎+90 312 394 44 90</x:v>
      </x:c>
      <x:c r="D352" s="3" t="str">
        <x:v>https://www.maktekfuari.com/brand/vibromak-yuzey-islem-teksanve-ticltdsti</x:v>
      </x:c>
      <x:c r="E352" s="8" t="str">
        <x:v>Saray Mahallesi Keresteciler Sanayi Sitesi 7. Sokak No: 5 - 7 06980 Kahramankazan / Ankara</x:v>
      </x:c>
      <x:c r="F352" s="3" t="str">
        <x:v>6</x:v>
      </x:c>
      <x:c r="G352" s="3" t="str">
        <x:v>619</x:v>
      </x:c>
      <x:c r="H352" s="8"/>
      <x:c r="I352" s="8"/>
      <x:c r="J352" s="8" t="str">
        <x:v>Vibromak Yüzey İşlem Teknolojileri olarak 1994 yılından itibaren sektör bilgi birikimimizle Ankara Merkez fabrikamızda yüzey işlem sektöründe hizmet vermekteyiz. Yerli imal ettiğimiz vibrasyon makinaları ile makine ortamında kullanılan taş, granül ve yüzey işlem kimyasallarını kaliteli ve ekonomik fiyatla sizlere sunuyoruz. İç pazarda hızla artan satış potansiyelimize paralel olarak ihracat yaptığımız ülke sayısı da her geçen gün artmaktadır. 7/24 satış sonrası hizmet desteğine de önem vererek TS-EN –ISO 9001-2015 standardına ve bağlı olduğu yönetmeliklere uygun olarak, çağımızın gerektirdiği teknolojiye sahip, donanımlı ve akılcı çalışma metotları ile kaliteli, eğitimli, kendi alanında uzmanlaşmış, sürekli gelişime açık ve kalite sistemini benimsemiş personel ile faaliyet gösteren kuruluşumuz sürekli müşteri memnuniyetini sağlamayı ilke edinmiştir.</x:v>
      </x:c>
    </x:row>
    <x:row r="353">
      <x:c r="A353" s="3" t="str">
        <x:v>WEİSHİLİ LASER TEKONOLOJİ TİC. LTD. ŞTİ.</x:v>
      </x:c>
      <x:c r="B353" s="3" t="str">
        <x:v>https://www.wsllaser.com/</x:v>
      </x:c>
      <x:c r="C353" s="3" t="str">
        <x:v>‎+90 537 235 98 62</x:v>
      </x:c>
      <x:c r="D353" s="3" t="str">
        <x:v>https://www.maktekfuari.com/brand/weishili-laser-tekonoloji-tic-ltd-sti</x:v>
      </x:c>
      <x:c r="E353" s="8" t="str">
        <x:v>Deliklikaya mah yüzbaşi Mehmet hilmi cad NO :2/1 Arnavutköy İstanbul</x:v>
      </x:c>
      <x:c r="F353" s="3" t="str">
        <x:v>11A</x:v>
      </x:c>
      <x:c r="G353" s="3" t="str">
        <x:v>37</x:v>
      </x:c>
      <x:c r="H353" s="8" t="str">
        <x:v>WSL lazer; Wsl lazer</x:v>
      </x:c>
      <x:c r="I353" s="8"/>
      <x:c r="J353" s="8"/>
    </x:row>
    <x:row r="354">
      <x:c r="A354" s="3" t="str">
        <x:v>WELL MÜHENDİSLİK TALAŞLI İMALAT ÇÖZÜMLERİ MÜMESSİLLİK TİC. LTD. ŞTİ.</x:v>
      </x:c>
      <x:c r="B354" s="3" t="str">
        <x:v>https://www.wellmuhendislilk.com</x:v>
      </x:c>
      <x:c r="C354" s="3" t="str">
        <x:v>‎+90 531 366 31 23</x:v>
      </x:c>
      <x:c r="D354" s="3" t="str">
        <x:v>https://www.maktekfuari.com/brand/well-muhendislik-talasli-imalat-cozumleri-mumessillik-tic-ltd-sti</x:v>
      </x:c>
      <x:c r="E354" s="8" t="str">
        <x:v>Rumeli mah. Cenap Şehabettin sk. No:42-44 iç kapı No:7 ÇORLU/TEKİRDAĞ</x:v>
      </x:c>
      <x:c r="F354" s="3" t="str">
        <x:v>11</x:v>
      </x:c>
      <x:c r="G354" s="3" t="str">
        <x:v>1135</x:v>
      </x:c>
      <x:c r="H354" s="8"/>
      <x:c r="I354" s="8" t="str">
        <x:v>ANDREAS MAIER GmbH &amp; Co. KG; RINGSPANN | Manufacturer of Power Transmission Components and Clamping Fixtures</x:v>
      </x:c>
      <x:c r="J354" s="8" t="str">
        <x:v>Biz, Well Mühendislik olarak, talaşlı imalat sektöründe güvenilir çözümler sunan bir firma olarak öne çıkıyoruz. Deneyimli kadromuz, CNC makineleri için iş parçası bağlama sistemleri, CMM cihazları için ölçüm aparatları ve takım tutucular gibi üstün kaliteli ürünler sunarak müşterilerimizin ihtiyaçlarına odaklanıyor.</x:v>
      </x:c>
    </x:row>
    <x:row r="355">
      <x:c r="A355" s="3" t="str">
        <x:v>WOM CNC MAKİNA TEKNOLOJILERI SAN. VE TİC. LTD. STİ.</x:v>
      </x:c>
      <x:c r="B355" s="3" t="str">
        <x:v>https://www.wom.com.tr</x:v>
      </x:c>
      <x:c r="C355" s="3" t="str">
        <x:v>‎+90 535 557 53 36</x:v>
      </x:c>
      <x:c r="D355" s="3" t="str">
        <x:v>https://www.maktekfuari.com/brand/wom-cnc-makina-teknolojileri-san-ve-tic-ltd-sti</x:v>
      </x:c>
      <x:c r="E355" s="8" t="str">
        <x:v>Yenişehir Mah. Aral Sok. Özkanca Plaza No:17/4</x:v>
      </x:c>
      <x:c r="F355" s="3" t="str">
        <x:v>9</x:v>
      </x:c>
      <x:c r="G355" s="3" t="str">
        <x:v>907</x:v>
      </x:c>
      <x:c r="H355" s="8" t="str">
        <x:v>WOM CNC MAKİNA TEKNOLOJİLERİ</x:v>
      </x:c>
      <x:c r="I355" s="8" t="str">
        <x:v>Detector France; Tsudakoma; TDG Clamping Solutions; SYIL</x:v>
      </x:c>
      <x:c r="J355" s="8" t="str">
        <x:v>Bizler, 2004 yılından bu yana ‘’CNC Takım Tezgahları’’ sektöründe, yüzlerce başarılı projelerde imzası olan takım arkadaşlarıyız. ’Yenilikçi, Teknolojik, Akılcı’ mottosu ile 2020 yılında çıktığımız bu yolda, Tüm bilgi birikimlerimiz ve tecrübelerimizden gelen güçlerimizi WOM CNC MAKİNA TEKNOLOJİLERİ çatısı altında birleştirdik. Bu tecrübe ve işbirliği ile bir araya gelmiş alanında profesyonel bir ekibiz. Havacılık, Medikal, Elektronik, Otomotiv Ana Sanayi ve Yan Sanayileri, Kalıpçılık, Savunma Sanayi ve Sportif Amaçlı Silahlar, Aksesuar (Mücevher, Düğme, Fermuar Kalıpları) Her geçen gün genişleyen iş ağımız ile sektörün ihtiyacına yönelik akılcı çözümler ürettik ve üretmeye devam edeceğiz.</x:v>
      </x:c>
    </x:row>
    <x:row r="356">
      <x:c r="A356" s="3" t="str">
        <x:v>YAMASA YAZICI MAKİNA SAN. VE TİC. LTD. ŞTİ</x:v>
      </x:c>
      <x:c r="B356" s="3" t="str">
        <x:v>https://www.yamasa.com.tr</x:v>
      </x:c>
      <x:c r="C356" s="3" t="str">
        <x:v>‎+90 232 257 53 35</x:v>
      </x:c>
      <x:c r="D356" s="3" t="str">
        <x:v>https://www.maktekfuari.com/brand/yamasa-yazici-makina-san-ve-tic-ltd-sti</x:v>
      </x:c>
      <x:c r="E356" s="8" t="str">
        <x:v>Metal işleri 3. cad. no:157 Kısıkköy - Menderes / İZMİR</x:v>
      </x:c>
      <x:c r="F356" s="3" t="str">
        <x:v>11</x:v>
      </x:c>
      <x:c r="G356" s="3" t="str">
        <x:v>1108</x:v>
      </x:c>
      <x:c r="H356" s="8" t="str">
        <x:v>YAMASA; MİKROLER; MICROLLER; DIAMOND STAR</x:v>
      </x:c>
      <x:c r="I356" s="8"/>
      <x:c r="J356" s="8" t="str">
        <x:v>Since 1958 | Ezerek Parlatma, Derin Ezme, Elmas ile Parlatma, Soyma - Parlatma Takımları ve Ezerek Parlatma Makineleri Üreticisi</x:v>
      </x:c>
    </x:row>
    <x:row r="357">
      <x:c r="A357" s="3" t="str">
        <x:v>YAMATO YAZICI MAKİNA TAKIM SAN VE TİC LTD ŞTİ</x:v>
      </x:c>
      <x:c r="B357" s="3" t="str">
        <x:v>https://www.yamato.com.tr</x:v>
      </x:c>
      <x:c r="C357" s="3" t="str">
        <x:v>‎+90 232 472 28 88</x:v>
      </x:c>
      <x:c r="D357" s="3" t="str">
        <x:v>https://www.maktekfuari.com/brand/yamato-yazici-makina-takim-san-ve-tic-ltd-sti</x:v>
      </x:c>
      <x:c r="E357" s="8" t="str">
        <x:v>Karacaoğlan Mah. 6165 Sokak A Blok No:6B</x:v>
      </x:c>
      <x:c r="F357" s="3" t="str">
        <x:v>12A</x:v>
      </x:c>
      <x:c r="G357" s="3" t="str">
        <x:v>09</x:v>
      </x:c>
      <x:c r="H357" s="8"/>
      <x:c r="I357" s="8"/>
      <x:c r="J357" s="8" t="str">
        <x:v>Yamato 1995 yılından beri Robuto - Ezerek Parlatma Takımları, CNC üzerinde Esnek Çapak Alma Takımları ve CNC üzerinde Markalama Takımları üretimi yapmaktadır.</x:v>
      </x:c>
    </x:row>
    <x:row r="358">
      <x:c r="A358" s="3" t="str">
        <x:v>YAMAZAKİ MAZAK TURKEY MAKİNA LTD.ŞTİ.</x:v>
      </x:c>
      <x:c r="B358" s="3"/>
      <x:c r="C358" s="3"/>
      <x:c r="D358" s="3" t="str">
        <x:v>https://www.maktekfuari.com/brand/yamazaki-mazak-turkey-makina-ltdsti</x:v>
      </x:c>
      <x:c r="E358" s="8"/>
      <x:c r="F358" s="3" t="str">
        <x:v>7</x:v>
      </x:c>
      <x:c r="G358" s="3" t="str">
        <x:v>702</x:v>
      </x:c>
      <x:c r="H358" s="8"/>
      <x:c r="I358" s="8"/>
      <x:c r="J358" s="8"/>
    </x:row>
    <x:row r="359">
      <x:c r="A359" s="3" t="str">
        <x:v>YAMER ENDÜSTRİYEL ÜRÜNLER TİC LTD ŞTİ</x:v>
      </x:c>
      <x:c r="B359" s="3" t="str">
        <x:v>https://www.yamer.com.tr/</x:v>
      </x:c>
      <x:c r="C359" s="3" t="str">
        <x:v>‎+90 232 342 06 93</x:v>
      </x:c>
      <x:c r="D359" s="3" t="str">
        <x:v>https://www.maktekfuari.com/brand/yamer-endustriyel-urunler-tic-ltd-sti</x:v>
      </x:c>
      <x:c r="E359" s="8" t="str">
        <x:v>KARACAOĞLAN MAH. 6172 SOK. NO: 8 IŞIKKENT 35070</x:v>
      </x:c>
      <x:c r="F359" s="3" t="str">
        <x:v>11</x:v>
      </x:c>
      <x:c r="G359" s="3" t="str">
        <x:v>1121</x:v>
      </x:c>
      <x:c r="H359" s="8" t="str">
        <x:v>Yamer</x:v>
      </x:c>
      <x:c r="I359" s="8" t="str">
        <x:v>Sylvac; TRIMOS SA; GILARDONI S.p.A; KB Prüftechnik GmbH; Kroeplin; Tschorn GmbH; Phynix GmbH; SmartVision S.r.l; Mark 10; Schwenk; Peacock; Danatronıcs; ULTRA PRÄZISION MESSZEUGE GMBH; Aberlink; Shining 3D; Accretech; Foerster; Renishaw; PCE Instruments; Schut; Teclock</x:v>
      </x:c>
      <x:c r="J359" s="8" t="str">
        <x:v>Yamer Endüstriyel Ürünler San. Ve Tic. Ltd. Şti Mayıs 2012 tarihinde kurulmuştur. Amacımız hem yurt içindeki hemde yurt dışındaki müşterilerimize uygun fiyatla kaliteyi birleştirerek malzeme tedarik etmektir. Firmamızın satış programı Kalite Kontrol cihazları ve Dökümhane malzemelerinden oluşmaktadır. Kalite Kontrol bölümündeki ürünlerimiz her biri kendi alanında güçlü üreticiler tarafından Yamer markası ile üretilmiş yeni ve teknolojik ürünlerden oluşmaktadır. 2022 yılı Temmuz itibari ile Yamer markalı ürün çeşidimiz 1300 kalemi aşmıştır. Firmamız Yamer markasının dışında kendisini tüm dünyada ispat etmiş Aberlink, Sylvac, Trimos, Shining, Kroeplin, Gilardoni, Accretech, Phynix, KB Prüftechnik, Tschorn, Foerster, Peacock, Renishaw vb. birçok markanın Türkiye temsilciliğini yapmaktadır. Firmamızın merkezi İzmir’de olup müşterilerimize daha yakın olabilmek için İstanbul’da Showroom, Ankara, Bursa, Konya ve Kayseride satış ve servis mühendislerimiz ile hizmet vermekteyiz.</x:v>
      </x:c>
    </x:row>
    <x:row r="360">
      <x:c r="A360" s="3" t="str">
        <x:v>YENASOFT YAZ. DON. VE DAN. SAN TİC LTD. ŞTİ.</x:v>
      </x:c>
      <x:c r="B360" s="3" t="str">
        <x:v>https://yenasoft.com/</x:v>
      </x:c>
      <x:c r="C360" s="3" t="str">
        <x:v>‎0216 677 67 77</x:v>
      </x:c>
      <x:c r="D360" s="3" t="str">
        <x:v>https://www.maktekfuari.com/brand/yenasoft-yaz-don-ve-dan-san-tic-ltd-sti</x:v>
      </x:c>
      <x:c r="E360" s="8" t="str">
        <x:v>Şerifali Hattat Sok. No: 46, 34764 Ümraniye</x:v>
      </x:c>
      <x:c r="F360" s="3" t="str">
        <x:v>12</x:v>
      </x:c>
      <x:c r="G360" s="3" t="str">
        <x:v>1219</x:v>
      </x:c>
      <x:c r="H360" s="8" t="str">
        <x:v>YENASOFT</x:v>
      </x:c>
      <x:c r="I360" s="8" t="str">
        <x:v>Dassault Systèmes SolidWorks Corporation</x:v>
      </x:c>
      <x:c r="J360" s="8" t="str">
        <x:v>Avrupa’nın En Yüksek Müşteri Memnuniyeti Ödülü ve Dünyanın En Yüksek Performansı Ödülüne sahip olan Yenasoft, 1996 yılından bu yana ileri teknolojilere dayalı komple çözümler ve hizmetler üretmek amacıyla kuruldu. Yenasoft; İstanbul, Ankara, Konya, Bursa ve İzmir ofisleri ile endüstrinin her alanına, kaliteli ürün konseptine uygun yazılım, donanım, eğitim, bakım ve danışmanlık hizmetleri sunmaktadır. Yenasoft Yazılım Solidworks CAD ve EspritCAM Türkiye Distribütörü olmakla birlikte Sindoh yazıcı, Yenasoft ürünleri olan SMC, BOM, ve BOX’ın satış,satış sonrası teknik destek,eğitim,bakım ve danışmanlık hizmetlerini sağlamaktadır. Yenasoft 50 kişilik uzman mühendis kadrosuyla beraber, çözüm ortaklığı yolunda başarıyla ilerlemektedir.</x:v>
      </x:c>
    </x:row>
    <x:row r="361">
      <x:c r="A361" s="3" t="str">
        <x:v>YENİCİ MAKİNA KOMPRESÖR SAN. VE TİC. LTD. ŞTİ.</x:v>
      </x:c>
      <x:c r="B361" s="3"/>
      <x:c r="C361" s="3"/>
      <x:c r="D361" s="3" t="str">
        <x:v>https://www.maktekfuari.com/brand/yenici-makina-kompresor-san-ve-tic-ltd-sti</x:v>
      </x:c>
      <x:c r="E361" s="8"/>
      <x:c r="F361" s="3" t="str">
        <x:v>6</x:v>
      </x:c>
      <x:c r="G361" s="3" t="str">
        <x:v>628</x:v>
      </x:c>
      <x:c r="H361" s="8"/>
      <x:c r="I361" s="8"/>
      <x:c r="J361" s="8"/>
    </x:row>
    <x:row r="362">
      <x:c r="A362" s="3" t="str">
        <x:v>YILDIRIM CNC MAKİNA SAN. VE TİC. LTD. ŞTİ.</x:v>
      </x:c>
      <x:c r="B362" s="3" t="str">
        <x:v>https://www.yildirimmakina.net</x:v>
      </x:c>
      <x:c r="C362" s="3" t="str">
        <x:v>‎+90 532 401 32 04</x:v>
      </x:c>
      <x:c r="D362" s="3" t="str">
        <x:v>https://www.maktekfuari.com/brand/yildirim-cnc-makina-san-ve-tic-ltd-sti</x:v>
      </x:c>
      <x:c r="E362" s="8" t="str">
        <x:v>YENİDOĞAN MAH. YENİÇERİ SOK. NO:22-24</x:v>
      </x:c>
      <x:c r="F362" s="3" t="str">
        <x:v>5</x:v>
      </x:c>
      <x:c r="G362" s="3" t="str">
        <x:v>501A</x:v>
      </x:c>
      <x:c r="H362" s="8" t="str">
        <x:v>HIGHTECH</x:v>
      </x:c>
      <x:c r="I362" s="8" t="str">
        <x:v>HIGHTECH</x:v>
      </x:c>
      <x:c r="J362" s="8" t="str">
        <x:v>YILDIRIM MAKİNA İSTANBUL BAYRAMPAŞA\\’DA METAL İŞLEME MAKİNALARI VE AKSAMLARI SATIŞ VE SERVİSİ KONUSUNDA HİZMET VERMEKTEDİR.</x:v>
      </x:c>
    </x:row>
    <x:row r="363">
      <x:c r="A363" s="3" t="str">
        <x:v>YILDIZ ODS MAKİNE SAN. VE TİC. LTD. ŞTİ.</x:v>
      </x:c>
      <x:c r="B363" s="3" t="str">
        <x:v>https://www.yildizods.com</x:v>
      </x:c>
      <x:c r="C363" s="3" t="str">
        <x:v>‎+90 224 452 04 00</x:v>
      </x:c>
      <x:c r="D363" s="3" t="str">
        <x:v>https://www.maktekfuari.com/brand/yildiz-ods-makine-san-ve-tic-ltd-sti</x:v>
      </x:c>
      <x:c r="E363" s="8" t="str">
        <x:v>Çalı Mahallesi Kahraman Caddesi No: 6/A Nilüfer</x:v>
      </x:c>
      <x:c r="F363" s="3" t="str">
        <x:v>11</x:v>
      </x:c>
      <x:c r="G363" s="3" t="str">
        <x:v>1138</x:v>
      </x:c>
      <x:c r="H363" s="8" t="str">
        <x:v>YILDIZ ODS</x:v>
      </x:c>
      <x:c r="I363" s="8" t="str">
        <x:v>GERARDİ</x:v>
      </x:c>
      <x:c r="J363" s="8" t="str">
        <x:v>YILDIZ ODS Makine Sanayi ve Ticaret Limited Şirketi 25 yılı aşkın mühendislik, imalat ve ARGE birikimi neticesinde Osman Vural YILDIZ tarafından kurulmuştur. YILDIZ ODS, Yıldız Markası ile çıktığı yolda her sektör için otomatik dikey depolama sistemleri tasarlayan ve üreten bir Türk şirketidir. Otomatik Dikey depolama ve Takım yönetim sistemleri ile Otomotiv, Savunma, Havacılık, Lojistik, Tekstil, Sağlık ve Gıda sektörlerinde depolama konusunda teknolojik çözümler sunmaktayız. Müşterilerimize karşı hizmet felsefemiz; yüksek verimlilik ve faydalı, kaliteli, güvenli ve ekonomik çözümler üretmektir.</x:v>
      </x:c>
    </x:row>
    <x:row r="364">
      <x:c r="A364" s="3" t="str">
        <x:v>YİNG HAN TEKNOLOJİ LTD. ŞTİ.</x:v>
      </x:c>
      <x:c r="B364" s="3" t="str">
        <x:v>https://www.ylm.com.tr/ https://www.hannsacnc.com</x:v>
      </x:c>
      <x:c r="C364" s="3" t="str">
        <x:v>‎+90 212 493 31 91</x:v>
      </x:c>
      <x:c r="D364" s="3" t="str">
        <x:v>https://www.maktekfuari.com/brand/ying-han-teknoloji-ltd-sti</x:v>
      </x:c>
      <x:c r="E364" s="8" t="str">
        <x:v>Yenidoğan Mahallesi Abdi İpekci Cad. 1. Emintaş Sanayi Sitesi No: 74/A K: 118</x:v>
      </x:c>
      <x:c r="F364" s="3" t="str">
        <x:v>4</x:v>
      </x:c>
      <x:c r="G364" s="3" t="str">
        <x:v>408</x:v>
      </x:c>
      <x:c r="H364" s="8" t="str">
        <x:v>HANNSA; YLM</x:v>
      </x:c>
      <x:c r="I364" s="8" t="str">
        <x:v>YING HAN TECHNOLOGY CO., LTD.</x:v>
      </x:c>
      <x:c r="J364" s="8" t="str">
        <x:v>YİNG HAN TEKNOLOJİ LTD. ŞTİ. yüksek üretim teknolojisi uzun yıllara dayanan tecrübesi ve çözüm ortağı olduğu firmalardan gelen geri dönüşümlerle beraber her zaman gelişime yönelik müşteri odaklı çalışma prensibi ile yeni projelere imza atmaya devam etmektedir. Firmamız üretimde CE ve EC normları doğrultusunda çalışmakta ISO 9001 kalite standartlarına uygun üretim yapmaktadır. Tayvan genel merkezimiz ayrıca Taiwan Excellence ödülü sahibidir. YING HAN TECHNOLOGY CO. LTD. şirketi 30 ülkede satış ve servis ofislerini kurmuş olup, bunların 13 tanesi İstanbul ofis gibi firmanın direk ofisidir. Diğerleri acenta kanalı ile hizmetlerine devam etmektedir. Firmamız 2015 yılı içersinde halka arz olup, grup şirketlerini bir çatı altında toplamış ve Borsa firması olmuştur. Grup firmaları, 100.000m2 kapalı alan ve 15.000m2 açık alan olmak üzere kurulu üretim tesisleriyle üretimlerine devam etmektedirler.</x:v>
      </x:c>
    </x:row>
    <x:row r="365">
      <x:c r="A365" s="3" t="str">
        <x:v>YÖRÜK HİDROLİK MAK İNŞ SAN TİC LTD ŞTİ</x:v>
      </x:c>
      <x:c r="B365" s="3" t="str">
        <x:v>https://www.yorukhidrolik.com</x:v>
      </x:c>
      <x:c r="C365" s="3" t="str">
        <x:v>‎+90 533 566 58 20</x:v>
      </x:c>
      <x:c r="D365" s="3" t="str">
        <x:v>https://www.maktekfuari.com/brand/yoruk-hidrolik-mak-ins-san-tic-ltd-sti</x:v>
      </x:c>
      <x:c r="E365" s="8" t="str">
        <x:v>ASO 1. OSB Yakutistan Cad. No: 1</x:v>
      </x:c>
      <x:c r="F365" s="3" t="str">
        <x:v>2</x:v>
      </x:c>
      <x:c r="G365" s="3" t="str">
        <x:v>209</x:v>
      </x:c>
      <x:c r="H365" s="8"/>
      <x:c r="I365" s="8"/>
      <x:c r="J365" s="8" t="str">
        <x:v>Firmamız hidrolik pres konusunda Türk sanayisine hizmet etmek için 1980 yılında şahıs firması olarak kurulmuştur. 2006 yılında başta zamanla tecrübeler edindiği derin çekme bombe olmak üzere fason baskı işlerine de girmiştir. Sincan O.S.B.’deki yeni fabrikamızda 6000 m²’si kapalı olmak üzere toplam 8000 m² alanda, tezgahlarımızla yurtiçi ve yurtdışı satışlarıyla sektöründe ön sıralarda yer alan bir firma haline gelmeyi hedeflemekteyiz. Halen süren imalatlarımızda 80-5000 ton arasında her türlü üretim amacına yönelik hidrolik presler, işe özel amaçlı hidrolik sistemlerle donatılmış makineler, hassas talaşlı imalat ve özellikle bombe olmak üzere fason baskı işlerimiz devam etmektedir. Öncelikli amacımız, teknolojiyi takip eden kaliteli ürünler üreterek hem siz değerli müşterilerimizin memnuniyetini en üst seviyede tutmak ve katma değeri yüksek ürünler imal ederek dünya sanayisine ve ekonomisine daha fazla katkıda bulunmaktır.</x:v>
      </x:c>
    </x:row>
    <x:row r="366">
      <x:c r="A366" s="3" t="str">
        <x:v>YSF MADEN METAL ENDÜSTRİ ÜRÜNLERİ LTD.ŞTİ</x:v>
      </x:c>
      <x:c r="B366" s="3" t="str">
        <x:v>https://www.alpelaser.com</x:v>
      </x:c>
      <x:c r="C366" s="3" t="str">
        <x:v>‎+90 533 575 99 06</x:v>
      </x:c>
      <x:c r="D366" s="3" t="str">
        <x:v>https://www.maktekfuari.com/brand/ysf-maden-metal-endustri-urunleri-ltdsti</x:v>
      </x:c>
      <x:c r="E366" s="8" t="str">
        <x:v>İstanbul Deri Organize Sanayi Bölgesi, Nokra Cad. No:5 Tuzla, İstanbul</x:v>
      </x:c>
      <x:c r="F366" s="3" t="str">
        <x:v>11A</x:v>
      </x:c>
      <x:c r="G366" s="3" t="str">
        <x:v>19</x:v>
      </x:c>
      <x:c r="H366" s="8" t="str">
        <x:v>ALPE LASER CUT MACHINES</x:v>
      </x:c>
      <x:c r="I366" s="8"/>
      <x:c r="J366" s="8" t="str">
        <x:v>Firmamız, Fiber Lazer kesim makinelerinde tamamen yerli imalat yaparken; Boru lazer kesim, Abkant pres ve Kaynak makinelerinde ise Uzak Doğu’daki güçlü üretici iş ortaklarımızla OEM çözümler sunmaktadır. Yerli üretim gücümüz ve global tedarik ağımız sayesinde müşterilerimize kaliteli, güvenilir ve ekonomik endüstriyel çözümler sağlamaktayız.</x:v>
      </x:c>
    </x:row>
    <x:row r="367">
      <x:c r="A367" s="3" t="str">
        <x:v>YUNTES MAKİNE A.Ş.</x:v>
      </x:c>
      <x:c r="B367" s="3" t="str">
        <x:v>https://yuntes.com.tr/</x:v>
      </x:c>
      <x:c r="C367" s="3" t="str">
        <x:v>‎+90 554 405 84 69</x:v>
      </x:c>
      <x:c r="D367" s="3" t="str">
        <x:v>https://www.maktekfuari.com/brand/yuntes-makine-as</x:v>
      </x:c>
      <x:c r="E367" s="8" t="str">
        <x:v>Yuntes Sanayi Sitesi, Fevziçakmak, Aslım Cd. No:98, 42060 Karatay/Konya</x:v>
      </x:c>
      <x:c r="F367" s="3" t="str">
        <x:v>12</x:v>
      </x:c>
      <x:c r="G367" s="3" t="str">
        <x:v>1226</x:v>
      </x:c>
      <x:c r="H367" s="8" t="str">
        <x:v>YUNTES MAKİNE</x:v>
      </x:c>
      <x:c r="I367" s="8" t="str">
        <x:v>WELE Mechatronic Co., Ltd</x:v>
      </x:c>
      <x:c r="J367" s="8" t="str">
        <x:v>1996 yılında Konya’da kurulan YUNTES, sanayi makineleri alanında faaliyet göstermektedir. 3000 m² showroom’unda torna, freze ve CNC makineleri başta olmak üzere geniş bir ürün yelpazesi sunmaktadır. Dünya çapında markaların Türkiye distribütörü olan YUNTES, satış öncesi ve sonrası hizmetleriyle müşteri memnuniyetini ön planda tutmaktadır.</x:v>
      </x:c>
    </x:row>
    <x:row r="368">
      <x:c r="A368" s="3" t="str">
        <x:v>ZESZ MAKİNA ELEKTRONİK SAN. VE TİC. LTD. ŞTİ.</x:v>
      </x:c>
      <x:c r="B368" s="3"/>
      <x:c r="C368" s="3"/>
      <x:c r="D368" s="3" t="str">
        <x:v>https://www.maktekfuari.com/brand/zesz-makina-elektronik-san-ve-tic-ltd-sti</x:v>
      </x:c>
      <x:c r="E368" s="8"/>
      <x:c r="F368" s="3" t="str">
        <x:v>11A</x:v>
      </x:c>
      <x:c r="G368" s="3" t="str">
        <x:v>07</x:v>
      </x:c>
      <x:c r="H368" s="8"/>
      <x:c r="I368" s="8"/>
      <x:c r="J368" s="8"/>
    </x:row>
    <x:row r="369">
      <x:c r="A369" s="3" t="str">
        <x:v>ZÜMRE MAKİNA İMALAT SANAYİ DIŞ TİCARET LİMİTED ŞİRKETİ</x:v>
      </x:c>
      <x:c r="B369" s="3" t="str">
        <x:v>https://www.zumretools.com.tr/</x:v>
      </x:c>
      <x:c r="C369" s="3" t="str">
        <x:v>‎+90 545 205 19 65</x:v>
      </x:c>
      <x:c r="D369" s="3" t="str">
        <x:v>https://www.maktekfuari.com/brand/zumre-makina-imalat-sanayi-dis-ticaret-limited-sirketi</x:v>
      </x:c>
      <x:c r="E369" s="8" t="str">
        <x:v>İvedik OSB Mah. 1444. Cad. No: 19/D, Yenimahalle / Ankara</x:v>
      </x:c>
      <x:c r="F369" s="3" t="str">
        <x:v>12A</x:v>
      </x:c>
      <x:c r="G369" s="3" t="str">
        <x:v>12</x:v>
      </x:c>
      <x:c r="H369" s="8" t="str">
        <x:v>Karl Schüssler GmbH &amp; Co. KG; Kemmer Hartmetallwerkzeuge GmbH; Diatool Präzisionswerkzeug GmbH; LMT TOOLS</x:v>
      </x:c>
      <x:c r="I369" s="8" t="str">
        <x:v>Karl Schüssler GmbH &amp; Co. KG; Diatool Präzisionswerkzeug GmbH; Kemmer Hartmetallwerkzeuge GmbH; Johs. Boss GmbH &amp; Co. KG; LMT Tool Systems GmbH &amp; Co. KG</x:v>
      </x:c>
      <x:c r="J369" s="8" t="str">
        <x:v>Zümre Tools, talaşlı imalat sektörüne yönelik yüksek performanslı kesici takım çözümleri sunan yenilikçi bir firmadır. 2006 yılından bu yana sanayi ve üretim alanlarında faaliyet gösteren şirketimiz, CNC işleme, savunma, havacılık ve raylı sistemler gibi stratejik sektörlerde kalite, güven ve teknolojiyi bir araya getirmektedir. Global markaların Türkiye distribütörlüğünü yaparak, üretim verimliliğini artıran modern ürünleri kullanıcılarımızla buluşturuyoruz. Sürekli gelişim anlayışımızla, endüstriyel üretime değer katmaya ve müşteri memnuniyetini en üst düzeyde tutmaya devam ediyoruz.</x:v>
      </x:c>
    </x:row>
    <x:row r="370">
      <x:c r="A370" s="9" t="str">
        <x:v>ZÜMRESOFT YAZILIM HİZMETLERİ LTD. ŞTİ</x:v>
      </x:c>
      <x:c r="B370" s="9" t="str">
        <x:v>https://www.zumresoft.com/</x:v>
      </x:c>
      <x:c r="C370" s="9" t="str">
        <x:v>‎+90 541 714 13 04</x:v>
      </x:c>
      <x:c r="D370" s="9" t="str">
        <x:v>https://www.maktekfuari.com/brand/zumresoft-yazilim-hizmetleri-ltd-sti</x:v>
      </x:c>
      <x:c r="E370" s="10" t="str">
        <x:v>Teknopark, İvedik OSB, 2224. Cd. No:116/1, 06378 Yenimahalle/Ankara</x:v>
      </x:c>
      <x:c r="F370" s="9" t="str">
        <x:v>12A</x:v>
      </x:c>
      <x:c r="G370" s="9" t="str">
        <x:v>08</x:v>
      </x:c>
      <x:c r="H370" s="10"/>
      <x:c r="I370" s="10"/>
      <x:c r="J370" s="10" t="str">
        <x:v>Zümre Soft, Ankara Teknopark bünyesinde faaliyet gösteren ve işletmelerin dijital dönüşüm süreçlerine yönelik yenilikçi yazılım çözümleri geliştiren bir teknoloji firmasıdır. ERP, CRM, B2B, e-ticaret, imalat takip, tedarikçi ve bayi yönetimi, kalite yönetimi, turizm, rent a car ve eğitim yönetim sistemleri başta olmak üzere farklı sektörlere yönelik yazılımlar geliştirmekteyiz. Standart çözümlerimizin yanı sıra, işletmelerin ihtiyaçlarına özel yazılım projeleri tasarlıyor ve mevcut sistemlerle entegrasyon hizmetleri sunuyoruz. Yazılım geliştirme faaliyetlerimizin yanında logo, katalog, broşür, afiş, illüstrasyon tasarımı ve sosyal medya yönetimi gibi dijital marka hizmetleri de sağlamaktayız. Zümre Soft, teknoloji ve tasarımı bir araya getirerek işletmelerin verimliliğini artıran, sürdürülebilir ve ölçeklenebilir çözümler sunmayı hedeflemektedir.</x:v>
      </x:c>
    </x:row>
  </x:sheetData>
  <x:pageMargins left="0.7" right="0.7" top="0.75" bottom="0.75" header="0.3" footer="0.3"/>
  <x:tableParts count="1">
    <x:tablePart xmlns:r="http://schemas.openxmlformats.org/officeDocument/2006/relationships" r:id="R9e667ffd75de4ca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4" hidden="0" customWidth="1"/>
    <x:col min="4" max="4" width="38" hidden="0" customWidth="1"/>
    <x:col min="5" max="5" width="12" hidden="0" customWidth="1"/>
    <x:col min="6" max="6" width="24" hidden="0" customWidth="1"/>
  </x:cols>
  <x:sheetData>
    <x:row r="1" ht="38" customHeight="1">
      <x:c r="A1" s="25" t="str">
        <x:v>MAKTEK Avrasya 2026 — Tüm manuel doğrulamalar tamamlandı</x:v>
      </x:c>
      <x:c r="B1" s="25"/>
      <x:c r="C1" s="25"/>
      <x:c r="D1" s="25"/>
      <x:c r="E1" s="25"/>
      <x:c r="F1" s="25"/>
    </x:row>
    <x:row r="3">
      <x:c r="A3" s="27" t="str">
        <x:v>Metrik</x:v>
      </x:c>
      <x:c r="B3" s="27" t="str">
        <x:v>Sonuç</x:v>
      </x:c>
      <x:c r="D3" s="27" t="str">
        <x:v>Sistem incelemesi kök nedeni</x:v>
      </x:c>
      <x:c r="E3" s="27" t="str">
        <x:v>Adet</x:v>
      </x:c>
    </x:row>
    <x:row r="4">
      <x:c r="A4" s="28" t="str">
        <x:v>Toplam Türkiye katılımcısı</x:v>
      </x:c>
      <x:c r="B4" s="30" t="n">
        <x:f>COUNTA('Tüm Katılımcılar'!A2:A370)</x:f>
        <x:v>369</x:v>
      </x:c>
      <x:c r="D4" s="32" t="str">
        <x:v>SAHİPLİK KANITI YETERSİZ</x:v>
      </x:c>
      <x:c r="E4" s="34" t="n">
        <x:f>COUNTIF('Sistem İncele'!H2:H52,D4)</x:f>
        <x:v>13</x:v>
      </x:c>
    </x:row>
    <x:row r="5">
      <x:c r="A5" s="28" t="str">
        <x:v>Fuar profilinde web sitesi olan</x:v>
      </x:c>
      <x:c r="B5" s="30" t="n">
        <x:f>COUNTIF('Tüm Katılımcılar'!B2:B370,"&lt;&gt;")</x:f>
        <x:v>270</x:v>
      </x:c>
      <x:c r="D5" s="32" t="str">
        <x:v>TİCARİ UNVAN BAĞLANTISI EKSİK</x:v>
      </x:c>
      <x:c r="E5" s="34" t="n">
        <x:f>COUNTIF('Sistem İncele'!H2:H52,D5)</x:f>
        <x:v>26</x:v>
      </x:c>
    </x:row>
    <x:row r="6">
      <x:c r="A6" s="28" t="str">
        <x:v>Fuar profilinde telefon referansı olan</x:v>
      </x:c>
      <x:c r="B6" s="30" t="n">
        <x:f>COUNTIF('Tüm Katılımcılar'!C2:C370,"&lt;&gt;")</x:f>
        <x:v>274</x:v>
      </x:c>
      <x:c r="D6" s="32" t="str">
        <x:v>İLETİŞİM KANITI EKSİK</x:v>
      </x:c>
      <x:c r="E6" s="34" t="n">
        <x:f>COUNTIF('Sistem İncele'!H2:H52,D6)</x:f>
        <x:v>2</x:v>
      </x:c>
    </x:row>
    <x:row r="7">
      <x:c r="A7" s="28" t="str">
        <x:v>Sistemce doğrulanan resmî firma</x:v>
      </x:c>
      <x:c r="B7" s="30" t="n">
        <x:f>COUNTIF('Hazır Kişiler'!F2:F319,"SİSTEM")+COUNTIF('Hazır Kişiler'!F2:F319,"SİSTEM + MANUEL ONAY")</x:f>
        <x:v>202</x:v>
      </x:c>
      <x:c r="D7" s="32" t="str">
        <x:v>BİRDEN FAZLA ADAY</x:v>
      </x:c>
      <x:c r="E7" s="34" t="n">
        <x:f>COUNTIF('Sistem İncele'!H2:H52,D7)</x:f>
        <x:v>5</x:v>
      </x:c>
    </x:row>
    <x:row r="8">
      <x:c r="A8" s="28" t="str">
        <x:v>Manuel web doğrulamasıyla yayımlanan</x:v>
      </x:c>
      <x:c r="B8" s="30" t="n">
        <x:f>COUNTIF('Hazır Kişiler'!F2:F319,"MANUEL WEB DOĞRULAMA")</x:f>
        <x:v>115</x:v>
      </x:c>
      <x:c r="D8" s="32" t="str">
        <x:v>WEBSITE AÇILAMADI</x:v>
      </x:c>
      <x:c r="E8" s="34" t="n">
        <x:f>COUNTIF('Sistem İncele'!H2:H52,D8)</x:f>
        <x:v>1</x:v>
      </x:c>
    </x:row>
    <x:row r="9">
      <x:c r="A9" s="28" t="str">
        <x:v>Manuel telefon istisnası</x:v>
      </x:c>
      <x:c r="B9" s="30" t="n">
        <x:f>COUNTIF('Hazır Kişiler'!F2:F319,"MANUEL İSTİSNA")</x:f>
        <x:v>1</x:v>
      </x:c>
      <x:c r="D9" s="32" t="str">
        <x:v>WEBSITE BULUNAMADI</x:v>
      </x:c>
      <x:c r="E9" s="34" t="n">
        <x:f>COUNTIF('Sistem İncele'!H2:H52,D9)</x:f>
        <x:v>3</x:v>
      </x:c>
    </x:row>
    <x:row r="10">
      <x:c r="A10" s="28" t="str">
        <x:v>Doğrudan kullanıma hazır</x:v>
      </x:c>
      <x:c r="B10" s="30" t="n">
        <x:f>COUNTA('Hazır Kişiler'!A2:A319)</x:f>
        <x:v>318</x:v>
      </x:c>
      <x:c r="D10" s="33" t="str">
        <x:v>DOĞRU RESMÎ SİTE BULUNAMADI</x:v>
      </x:c>
      <x:c r="E10" s="35" t="n">
        <x:f>COUNTIF('Sistem İncele'!H2:H52,D10)</x:f>
        <x:v>1</x:v>
      </x:c>
    </x:row>
    <x:row r="11">
      <x:c r="A11" s="28" t="str">
        <x:v>Hazır ve tam iletişim</x:v>
      </x:c>
      <x:c r="B11" s="30" t="n">
        <x:f>COUNTIF('Hazır Kişiler'!E2:E319,"TAM")</x:f>
        <x:v>273</x:v>
      </x:c>
    </x:row>
    <x:row r="12">
      <x:c r="A12" s="28" t="str">
        <x:v>Hazır ve kısmi iletişim</x:v>
      </x:c>
      <x:c r="B12" s="30" t="n">
        <x:f>COUNTIF('Hazır Kişiler'!E2:E319,"KISMI")</x:f>
        <x:v>45</x:v>
      </x:c>
    </x:row>
    <x:row r="13">
      <x:c r="A13" s="28" t="str">
        <x:v>Hazır listede telefonu fuar referansıyla eşleşen</x:v>
      </x:c>
      <x:c r="B13" s="30" t="n">
        <x:f>COUNTIF('Hazır Kişiler'!I2:I319,"ESLESTI")+COUNTIF('Hazır Kişiler'!I2:I319,"MANUEL_FUAR_YANDEX_ESLESTI")+COUNTIF('Hazır Kişiler'!I2:I319,"MANUEL_ESLESTI")</x:f>
        <x:v>153</x:v>
      </x:c>
    </x:row>
    <x:row r="14">
      <x:c r="A14" s="28" t="str">
        <x:v>Telefon incelemesinde kalan</x:v>
      </x:c>
      <x:c r="B14" s="30" t="n">
        <x:f>COUNTA('Telefon İncele'!A2:A2)</x:f>
        <x:v>0</x:v>
      </x:c>
    </x:row>
    <x:row r="15">
      <x:c r="A15" s="28" t="str">
        <x:v>Sistem incelemesinde kalan</x:v>
      </x:c>
      <x:c r="B15" s="30" t="n">
        <x:f>COUNTA('Sistem İncele'!A2:A52)</x:f>
        <x:v>51</x:v>
      </x:c>
    </x:row>
    <x:row r="16">
      <x:c r="A16" s="28" t="str">
        <x:v>Toplam manuel incelenen</x:v>
      </x:c>
      <x:c r="B16" s="30" t="n">
        <x:f>COUNTIF('Hazır Kişiler'!F2:F319,"MANUEL WEB DOĞRULAMA")+COUNTIF('Sistem İncele'!L2:L52,"&lt;&gt;")</x:f>
        <x:v>166</x:v>
      </x:c>
    </x:row>
    <x:row r="17">
      <x:c r="A17" s="28" t="str">
        <x:v>Manuel doğrulanıp yayımlanan</x:v>
      </x:c>
      <x:c r="B17" s="30" t="n">
        <x:f>COUNTIF('Hazır Kişiler'!F2:F319,"MANUEL WEB DOĞRULAMA")</x:f>
        <x:v>115</x:v>
      </x:c>
    </x:row>
    <x:row r="18">
      <x:c r="A18" s="29" t="str">
        <x:v>Manuel incelemede yayımlanmayan</x:v>
      </x:c>
      <x:c r="B18" s="31" t="n">
        <x:f>COUNTIF('Sistem İncele'!L2:L52,"&lt;&gt;")</x:f>
        <x:v>51</x:v>
      </x:c>
    </x:row>
    <x:row r="20">
      <x:c r="A20" s="37" t="str">
        <x:v>Karar ve çalışma yöntemi</x:v>
      </x:c>
      <x:c r="B20" s="37"/>
      <x:c r="C20" s="37"/>
      <x:c r="D20" s="37"/>
      <x:c r="E20" s="37"/>
      <x:c r="F20" s="37"/>
    </x:row>
    <x:row r="21">
      <x:c r="A21" s="41" t="str">
        <x:v>Sistem İncele kuyruğundaki 166 firma 25'lik partiler halinde resmî sitenin Hakkımızda, İletişim, KVKK, yasal ve resmî lokasyon sayfaları üzerinden kontrol edildi; karar bekleyen kayıt kalmadı. Yeşil satırlar resmî birinci taraf kanıtla onaylanan kayıtlardır. Şirket türü/sahibi çelişkisi, yabancı ülke sitesi, homonim aday veya birinci taraf sahiplik kanıtı eksikliği bulunan kayıtlar yayımlanmadı ve Sistem İncele sayfasında gerekçeli karar olarak bırakıldı. Fuar, rehber, Yandex, pazaryeri ve arama sonucu yalnız keşif/çapraz kontrol kaynağıdır. Resmî sitede farklı telefon veya e-posta yayımlanıyorsa resmî site bilgisi esas alındı; e-posta domainleri MX/A kaydıyla kontrol edildi. JIUXUN sarı satırı önceki tek seferlik kullanıcı istisnasıdır ve sistem doğrulaması sayılmaz.</x:v>
      </x:c>
      <x:c r="B21" s="41"/>
      <x:c r="C21" s="41"/>
      <x:c r="D21" s="41"/>
      <x:c r="E21" s="41"/>
      <x:c r="F21" s="41"/>
    </x:row>
    <x:row r="22">
      <x:c r="A22" s="41"/>
      <x:c r="B22" s="41"/>
      <x:c r="C22" s="41"/>
      <x:c r="D22" s="41"/>
      <x:c r="E22" s="41"/>
      <x:c r="F22" s="41"/>
    </x:row>
    <x:row r="23">
      <x:c r="A23" s="41"/>
      <x:c r="B23" s="41"/>
      <x:c r="C23" s="41"/>
      <x:c r="D23" s="41"/>
      <x:c r="E23" s="41"/>
      <x:c r="F23" s="41"/>
    </x:row>
    <x:row r="24">
      <x:c r="A24" s="41"/>
      <x:c r="B24" s="41"/>
      <x:c r="C24" s="41"/>
      <x:c r="D24" s="41"/>
      <x:c r="E24" s="41"/>
      <x:c r="F24" s="41"/>
    </x:row>
    <x:row r="25">
      <x:c r="A25" s="41"/>
      <x:c r="B25" s="41"/>
      <x:c r="C25" s="41"/>
      <x:c r="D25" s="41"/>
      <x:c r="E25" s="41"/>
      <x:c r="F25" s="41"/>
    </x:row>
    <x:row r="26">
      <x:c r="A26" s="41"/>
      <x:c r="B26" s="41"/>
      <x:c r="C26" s="41"/>
      <x:c r="D26" s="41"/>
      <x:c r="E26" s="41"/>
      <x:c r="F26" s="41"/>
    </x:row>
  </x:sheetData>
  <x:mergeCells>
    <x:mergeCell ref="A1:F1"/>
    <x:mergeCell ref="A20:F20"/>
    <x:mergeCell ref="A21:F26"/>
  </x:mergeCells>
  <x:pageMargins left="0.7" right="0.7" top="0.75" bottom="0.75" header="0.3" footer="0.3"/>
</x:worksheet>
</file>